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oğukan Kara\Desktop\Lead_Core\"/>
    </mc:Choice>
  </mc:AlternateContent>
  <xr:revisionPtr revIDLastSave="0" documentId="13_ncr:1_{6B51CE7B-E2D1-4E96-AA42-76C4B8B5009A}" xr6:coauthVersionLast="47" xr6:coauthVersionMax="47" xr10:uidLastSave="{00000000-0000-0000-0000-000000000000}"/>
  <bookViews>
    <workbookView xWindow="-108" yWindow="-108" windowWidth="23256" windowHeight="13896" firstSheet="3" activeTab="9" xr2:uid="{00000000-000D-0000-FFFF-FFFF00000000}"/>
  </bookViews>
  <sheets>
    <sheet name="8.08.2026" sheetId="1" r:id="rId1"/>
    <sheet name="10.08.2026" sheetId="2" r:id="rId2"/>
    <sheet name="11.08.2026" sheetId="4" r:id="rId3"/>
    <sheet name="12.08.2026" sheetId="5" r:id="rId4"/>
    <sheet name="13.08.2026" sheetId="6" r:id="rId5"/>
    <sheet name="14.08.2026" sheetId="7" r:id="rId6"/>
    <sheet name="15.08.2026" sheetId="8" r:id="rId7"/>
    <sheet name="16.08.2026" sheetId="9" r:id="rId8"/>
    <sheet name="17.08.2026" sheetId="10" r:id="rId9"/>
    <sheet name="18.08.2026" sheetId="11" r:id="rId10"/>
  </sheets>
  <definedNames>
    <definedName name="_xlnm.Print_Area" localSheetId="8">'17.08.2026'!$A$1:$T$53</definedName>
    <definedName name="_xlnm.Print_Area" localSheetId="9">'18.08.2026'!$A$1:$T$53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11" l="1"/>
  <c r="E48" i="11"/>
  <c r="D48" i="11"/>
  <c r="G46" i="11"/>
  <c r="G44" i="11"/>
  <c r="O42" i="11"/>
  <c r="N42" i="11"/>
  <c r="M42" i="11"/>
  <c r="G42" i="11"/>
  <c r="H42" i="11" s="1"/>
  <c r="P42" i="11" s="1"/>
  <c r="G40" i="11"/>
  <c r="G38" i="11"/>
  <c r="O36" i="11"/>
  <c r="N36" i="11"/>
  <c r="M36" i="11"/>
  <c r="G36" i="11"/>
  <c r="G34" i="11"/>
  <c r="G32" i="11"/>
  <c r="O30" i="11"/>
  <c r="N30" i="11"/>
  <c r="M30" i="11"/>
  <c r="G30" i="11"/>
  <c r="G28" i="11"/>
  <c r="G26" i="11"/>
  <c r="O24" i="11"/>
  <c r="N24" i="11"/>
  <c r="M24" i="11"/>
  <c r="G24" i="11"/>
  <c r="G22" i="11"/>
  <c r="G20" i="11"/>
  <c r="O18" i="11"/>
  <c r="N18" i="11"/>
  <c r="M18" i="11"/>
  <c r="G18" i="11"/>
  <c r="G16" i="11"/>
  <c r="G14" i="11"/>
  <c r="H12" i="11" s="1"/>
  <c r="P12" i="11" s="1"/>
  <c r="O12" i="11"/>
  <c r="N12" i="11"/>
  <c r="M12" i="11"/>
  <c r="G12" i="11"/>
  <c r="G10" i="11"/>
  <c r="G8" i="11"/>
  <c r="O6" i="11"/>
  <c r="N6" i="11"/>
  <c r="M6" i="11"/>
  <c r="G6" i="11"/>
  <c r="F48" i="10"/>
  <c r="E48" i="10"/>
  <c r="D48" i="10"/>
  <c r="G46" i="10"/>
  <c r="G44" i="10"/>
  <c r="O42" i="10"/>
  <c r="N42" i="10"/>
  <c r="M42" i="10"/>
  <c r="G42" i="10"/>
  <c r="H42" i="10" s="1"/>
  <c r="P42" i="10" s="1"/>
  <c r="G40" i="10"/>
  <c r="G38" i="10"/>
  <c r="H36" i="10" s="1"/>
  <c r="P36" i="10" s="1"/>
  <c r="O36" i="10"/>
  <c r="N36" i="10"/>
  <c r="M36" i="10"/>
  <c r="G36" i="10"/>
  <c r="G34" i="10"/>
  <c r="G32" i="10"/>
  <c r="O30" i="10"/>
  <c r="N30" i="10"/>
  <c r="M30" i="10"/>
  <c r="G30" i="10"/>
  <c r="G28" i="10"/>
  <c r="G26" i="10"/>
  <c r="O24" i="10"/>
  <c r="N24" i="10"/>
  <c r="M24" i="10"/>
  <c r="G24" i="10"/>
  <c r="G22" i="10"/>
  <c r="G20" i="10"/>
  <c r="O18" i="10"/>
  <c r="N18" i="10"/>
  <c r="M18" i="10"/>
  <c r="G18" i="10"/>
  <c r="G16" i="10"/>
  <c r="G14" i="10"/>
  <c r="O12" i="10"/>
  <c r="N12" i="10"/>
  <c r="M12" i="10"/>
  <c r="G12" i="10"/>
  <c r="G10" i="10"/>
  <c r="G8" i="10"/>
  <c r="O6" i="10"/>
  <c r="N6" i="10"/>
  <c r="M6" i="10"/>
  <c r="G6" i="10"/>
  <c r="G8" i="9"/>
  <c r="G10" i="9"/>
  <c r="G12" i="9"/>
  <c r="G14" i="9"/>
  <c r="G16" i="9"/>
  <c r="G18" i="9"/>
  <c r="G20" i="9"/>
  <c r="G22" i="9"/>
  <c r="G24" i="9"/>
  <c r="G26" i="9"/>
  <c r="G28" i="9"/>
  <c r="G30" i="9"/>
  <c r="G32" i="9"/>
  <c r="G34" i="9"/>
  <c r="G36" i="9"/>
  <c r="G38" i="9"/>
  <c r="G40" i="9"/>
  <c r="G42" i="9"/>
  <c r="G44" i="9"/>
  <c r="G46" i="9"/>
  <c r="G8" i="8"/>
  <c r="G10" i="8"/>
  <c r="G12" i="8"/>
  <c r="G14" i="8"/>
  <c r="G16" i="8"/>
  <c r="G18" i="8"/>
  <c r="G20" i="8"/>
  <c r="G22" i="8"/>
  <c r="G24" i="8"/>
  <c r="G26" i="8"/>
  <c r="G28" i="8"/>
  <c r="G30" i="8"/>
  <c r="G32" i="8"/>
  <c r="G34" i="8"/>
  <c r="G36" i="8"/>
  <c r="G38" i="8"/>
  <c r="G40" i="8"/>
  <c r="G42" i="8"/>
  <c r="G44" i="8"/>
  <c r="G46" i="8"/>
  <c r="G8" i="7"/>
  <c r="G10" i="7"/>
  <c r="G12" i="7"/>
  <c r="G14" i="7"/>
  <c r="G16" i="7"/>
  <c r="G18" i="7"/>
  <c r="G20" i="7"/>
  <c r="G22" i="7"/>
  <c r="G24" i="7"/>
  <c r="G26" i="7"/>
  <c r="G28" i="7"/>
  <c r="G30" i="7"/>
  <c r="G32" i="7"/>
  <c r="G34" i="7"/>
  <c r="G36" i="7"/>
  <c r="G38" i="7"/>
  <c r="G40" i="7"/>
  <c r="G42" i="7"/>
  <c r="G44" i="7"/>
  <c r="G46" i="7"/>
  <c r="G8" i="6"/>
  <c r="G10" i="6"/>
  <c r="G12" i="6"/>
  <c r="G14" i="6"/>
  <c r="G16" i="6"/>
  <c r="G18" i="6"/>
  <c r="G20" i="6"/>
  <c r="G22" i="6"/>
  <c r="G24" i="6"/>
  <c r="G26" i="6"/>
  <c r="G28" i="6"/>
  <c r="G30" i="6"/>
  <c r="G32" i="6"/>
  <c r="G34" i="6"/>
  <c r="G36" i="6"/>
  <c r="G38" i="6"/>
  <c r="G40" i="6"/>
  <c r="G42" i="6"/>
  <c r="G44" i="6"/>
  <c r="G46" i="6"/>
  <c r="G8" i="5"/>
  <c r="G10" i="5"/>
  <c r="G12" i="5"/>
  <c r="G14" i="5"/>
  <c r="G16" i="5"/>
  <c r="G18" i="5"/>
  <c r="G20" i="5"/>
  <c r="G22" i="5"/>
  <c r="G24" i="5"/>
  <c r="G26" i="5"/>
  <c r="G28" i="5"/>
  <c r="G30" i="5"/>
  <c r="G32" i="5"/>
  <c r="G34" i="5"/>
  <c r="G36" i="5"/>
  <c r="G38" i="5"/>
  <c r="G40" i="5"/>
  <c r="G42" i="5"/>
  <c r="G44" i="5"/>
  <c r="G46" i="5"/>
  <c r="G8" i="4"/>
  <c r="G10" i="4"/>
  <c r="G12" i="4"/>
  <c r="G14" i="4"/>
  <c r="G16" i="4"/>
  <c r="G18" i="4"/>
  <c r="G20" i="4"/>
  <c r="G22" i="4"/>
  <c r="G24" i="4"/>
  <c r="G26" i="4"/>
  <c r="G28" i="4"/>
  <c r="G30" i="4"/>
  <c r="G32" i="4"/>
  <c r="G34" i="4"/>
  <c r="G36" i="4"/>
  <c r="G38" i="4"/>
  <c r="G40" i="4"/>
  <c r="G42" i="4"/>
  <c r="G44" i="4"/>
  <c r="G46" i="4"/>
  <c r="G8" i="2"/>
  <c r="G10" i="2"/>
  <c r="G12" i="2"/>
  <c r="G14" i="2"/>
  <c r="G16" i="2"/>
  <c r="G18" i="2"/>
  <c r="G20" i="2"/>
  <c r="G22" i="2"/>
  <c r="G24" i="2"/>
  <c r="G26" i="2"/>
  <c r="G28" i="2"/>
  <c r="G30" i="2"/>
  <c r="G32" i="2"/>
  <c r="G34" i="2"/>
  <c r="G36" i="2"/>
  <c r="G38" i="2"/>
  <c r="G40" i="2"/>
  <c r="G42" i="2"/>
  <c r="G44" i="2"/>
  <c r="G46" i="2"/>
  <c r="G12" i="1"/>
  <c r="G48" i="1"/>
  <c r="F48" i="1"/>
  <c r="E48" i="1"/>
  <c r="D48" i="1"/>
  <c r="G46" i="1"/>
  <c r="G44" i="1"/>
  <c r="G42" i="1"/>
  <c r="G40" i="1"/>
  <c r="G38" i="1"/>
  <c r="G36" i="1"/>
  <c r="G34" i="1"/>
  <c r="G32" i="1"/>
  <c r="G30" i="1"/>
  <c r="G28" i="1"/>
  <c r="G26" i="1"/>
  <c r="G24" i="1"/>
  <c r="G22" i="1"/>
  <c r="G20" i="1"/>
  <c r="G18" i="1"/>
  <c r="G16" i="1"/>
  <c r="G14" i="1"/>
  <c r="G10" i="1"/>
  <c r="G8" i="1"/>
  <c r="G6" i="1"/>
  <c r="H30" i="11" l="1"/>
  <c r="P30" i="11" s="1"/>
  <c r="G48" i="11"/>
  <c r="H18" i="11"/>
  <c r="P18" i="11" s="1"/>
  <c r="H36" i="11"/>
  <c r="P36" i="11" s="1"/>
  <c r="H24" i="11"/>
  <c r="P24" i="11" s="1"/>
  <c r="H6" i="11"/>
  <c r="H30" i="10"/>
  <c r="P30" i="10" s="1"/>
  <c r="H12" i="10"/>
  <c r="P12" i="10" s="1"/>
  <c r="G48" i="10"/>
  <c r="H18" i="10"/>
  <c r="P18" i="10" s="1"/>
  <c r="H24" i="10"/>
  <c r="P24" i="10" s="1"/>
  <c r="H6" i="10"/>
  <c r="G6" i="9"/>
  <c r="M6" i="9"/>
  <c r="N6" i="9"/>
  <c r="O6" i="9"/>
  <c r="F48" i="9"/>
  <c r="E48" i="9"/>
  <c r="D48" i="9"/>
  <c r="O42" i="9"/>
  <c r="N42" i="9"/>
  <c r="M42" i="9"/>
  <c r="O36" i="9"/>
  <c r="N36" i="9"/>
  <c r="M36" i="9"/>
  <c r="O30" i="9"/>
  <c r="N30" i="9"/>
  <c r="M30" i="9"/>
  <c r="O24" i="9"/>
  <c r="N24" i="9"/>
  <c r="M24" i="9"/>
  <c r="O18" i="9"/>
  <c r="N18" i="9"/>
  <c r="M18" i="9"/>
  <c r="O12" i="9"/>
  <c r="N12" i="9"/>
  <c r="M12" i="9"/>
  <c r="F48" i="8"/>
  <c r="E48" i="8"/>
  <c r="D48" i="8"/>
  <c r="O42" i="8"/>
  <c r="N42" i="8"/>
  <c r="M42" i="8"/>
  <c r="O36" i="8"/>
  <c r="N36" i="8"/>
  <c r="M36" i="8"/>
  <c r="H36" i="8"/>
  <c r="P36" i="8" s="1"/>
  <c r="O30" i="8"/>
  <c r="N30" i="8"/>
  <c r="M30" i="8"/>
  <c r="O24" i="8"/>
  <c r="N24" i="8"/>
  <c r="M24" i="8"/>
  <c r="O18" i="8"/>
  <c r="N18" i="8"/>
  <c r="M18" i="8"/>
  <c r="O12" i="8"/>
  <c r="N12" i="8"/>
  <c r="M12" i="8"/>
  <c r="O6" i="8"/>
  <c r="N6" i="8"/>
  <c r="M6" i="8"/>
  <c r="G6" i="8"/>
  <c r="F48" i="7"/>
  <c r="E48" i="7"/>
  <c r="D48" i="7"/>
  <c r="O42" i="7"/>
  <c r="N42" i="7"/>
  <c r="M42" i="7"/>
  <c r="O36" i="7"/>
  <c r="N36" i="7"/>
  <c r="M36" i="7"/>
  <c r="O30" i="7"/>
  <c r="N30" i="7"/>
  <c r="M30" i="7"/>
  <c r="O24" i="7"/>
  <c r="N24" i="7"/>
  <c r="M24" i="7"/>
  <c r="O18" i="7"/>
  <c r="N18" i="7"/>
  <c r="M18" i="7"/>
  <c r="O12" i="7"/>
  <c r="N12" i="7"/>
  <c r="M12" i="7"/>
  <c r="O6" i="7"/>
  <c r="N6" i="7"/>
  <c r="M6" i="7"/>
  <c r="G6" i="7"/>
  <c r="F48" i="6"/>
  <c r="E48" i="6"/>
  <c r="D48" i="6"/>
  <c r="O42" i="6"/>
  <c r="N42" i="6"/>
  <c r="M42" i="6"/>
  <c r="O36" i="6"/>
  <c r="N36" i="6"/>
  <c r="M36" i="6"/>
  <c r="O30" i="6"/>
  <c r="N30" i="6"/>
  <c r="M30" i="6"/>
  <c r="O24" i="6"/>
  <c r="N24" i="6"/>
  <c r="M24" i="6"/>
  <c r="O18" i="6"/>
  <c r="N18" i="6"/>
  <c r="M18" i="6"/>
  <c r="O12" i="6"/>
  <c r="N12" i="6"/>
  <c r="M12" i="6"/>
  <c r="O6" i="6"/>
  <c r="N6" i="6"/>
  <c r="M6" i="6"/>
  <c r="G6" i="6"/>
  <c r="F48" i="5"/>
  <c r="E48" i="5"/>
  <c r="D48" i="5"/>
  <c r="O42" i="5"/>
  <c r="N42" i="5"/>
  <c r="M42" i="5"/>
  <c r="O36" i="5"/>
  <c r="N36" i="5"/>
  <c r="M36" i="5"/>
  <c r="O30" i="5"/>
  <c r="N30" i="5"/>
  <c r="M30" i="5"/>
  <c r="O24" i="5"/>
  <c r="N24" i="5"/>
  <c r="M24" i="5"/>
  <c r="O18" i="5"/>
  <c r="N18" i="5"/>
  <c r="M18" i="5"/>
  <c r="O12" i="5"/>
  <c r="N12" i="5"/>
  <c r="M12" i="5"/>
  <c r="H12" i="5"/>
  <c r="P12" i="5" s="1"/>
  <c r="O6" i="5"/>
  <c r="N6" i="5"/>
  <c r="M6" i="5"/>
  <c r="G6" i="5"/>
  <c r="F48" i="4"/>
  <c r="E48" i="4"/>
  <c r="D48" i="4"/>
  <c r="O42" i="4"/>
  <c r="N42" i="4"/>
  <c r="M42" i="4"/>
  <c r="O36" i="4"/>
  <c r="N36" i="4"/>
  <c r="M36" i="4"/>
  <c r="O30" i="4"/>
  <c r="N30" i="4"/>
  <c r="M30" i="4"/>
  <c r="O24" i="4"/>
  <c r="N24" i="4"/>
  <c r="M24" i="4"/>
  <c r="O18" i="4"/>
  <c r="N18" i="4"/>
  <c r="M18" i="4"/>
  <c r="O12" i="4"/>
  <c r="N12" i="4"/>
  <c r="M12" i="4"/>
  <c r="O6" i="4"/>
  <c r="N6" i="4"/>
  <c r="M6" i="4"/>
  <c r="G6" i="4"/>
  <c r="F48" i="2"/>
  <c r="E48" i="2"/>
  <c r="D48" i="2"/>
  <c r="O42" i="2"/>
  <c r="N42" i="2"/>
  <c r="M42" i="2"/>
  <c r="H42" i="2"/>
  <c r="P42" i="2" s="1"/>
  <c r="O36" i="2"/>
  <c r="N36" i="2"/>
  <c r="M36" i="2"/>
  <c r="O30" i="2"/>
  <c r="N30" i="2"/>
  <c r="M30" i="2"/>
  <c r="H30" i="2"/>
  <c r="P30" i="2" s="1"/>
  <c r="O24" i="2"/>
  <c r="N24" i="2"/>
  <c r="M24" i="2"/>
  <c r="O18" i="2"/>
  <c r="N18" i="2"/>
  <c r="M18" i="2"/>
  <c r="O12" i="2"/>
  <c r="N12" i="2"/>
  <c r="M12" i="2"/>
  <c r="O6" i="2"/>
  <c r="N6" i="2"/>
  <c r="M6" i="2"/>
  <c r="G6" i="2"/>
  <c r="M18" i="1"/>
  <c r="N18" i="1"/>
  <c r="O18" i="1"/>
  <c r="M24" i="1"/>
  <c r="N24" i="1"/>
  <c r="O24" i="1"/>
  <c r="M30" i="1"/>
  <c r="N30" i="1"/>
  <c r="O30" i="1"/>
  <c r="M36" i="1"/>
  <c r="N36" i="1"/>
  <c r="O36" i="1"/>
  <c r="M42" i="1"/>
  <c r="N42" i="1"/>
  <c r="O42" i="1"/>
  <c r="M12" i="1"/>
  <c r="N12" i="1"/>
  <c r="O12" i="1"/>
  <c r="N6" i="1"/>
  <c r="O6" i="1"/>
  <c r="M6" i="1"/>
  <c r="H6" i="1"/>
  <c r="P6" i="1" s="1"/>
  <c r="H48" i="11" l="1"/>
  <c r="P6" i="11"/>
  <c r="H48" i="10"/>
  <c r="P6" i="10"/>
  <c r="H12" i="1"/>
  <c r="P12" i="1" s="1"/>
  <c r="H12" i="2"/>
  <c r="P12" i="2" s="1"/>
  <c r="H36" i="2"/>
  <c r="P36" i="2" s="1"/>
  <c r="H30" i="4"/>
  <c r="P30" i="4" s="1"/>
  <c r="H18" i="4"/>
  <c r="P18" i="4" s="1"/>
  <c r="H42" i="4"/>
  <c r="P42" i="4" s="1"/>
  <c r="H30" i="5"/>
  <c r="P30" i="5" s="1"/>
  <c r="H42" i="5"/>
  <c r="P42" i="5" s="1"/>
  <c r="H18" i="6"/>
  <c r="P18" i="6" s="1"/>
  <c r="H30" i="6"/>
  <c r="P30" i="6" s="1"/>
  <c r="H42" i="6"/>
  <c r="P42" i="6" s="1"/>
  <c r="H18" i="7"/>
  <c r="P18" i="7" s="1"/>
  <c r="H42" i="7"/>
  <c r="P42" i="7" s="1"/>
  <c r="H36" i="7"/>
  <c r="P36" i="7" s="1"/>
  <c r="H12" i="7"/>
  <c r="P12" i="7" s="1"/>
  <c r="H42" i="8"/>
  <c r="P42" i="8" s="1"/>
  <c r="H18" i="8"/>
  <c r="P18" i="8" s="1"/>
  <c r="H6" i="9"/>
  <c r="P6" i="9" s="1"/>
  <c r="H18" i="9"/>
  <c r="P18" i="9" s="1"/>
  <c r="H30" i="9"/>
  <c r="P30" i="9" s="1"/>
  <c r="H42" i="9"/>
  <c r="P42" i="9" s="1"/>
  <c r="H24" i="9"/>
  <c r="P24" i="9" s="1"/>
  <c r="G48" i="9"/>
  <c r="H12" i="9"/>
  <c r="P12" i="9" s="1"/>
  <c r="H36" i="9"/>
  <c r="P36" i="9" s="1"/>
  <c r="H24" i="8"/>
  <c r="P24" i="8" s="1"/>
  <c r="H12" i="8"/>
  <c r="P12" i="8" s="1"/>
  <c r="G48" i="8"/>
  <c r="H30" i="8"/>
  <c r="P30" i="8" s="1"/>
  <c r="H6" i="8"/>
  <c r="H30" i="7"/>
  <c r="P30" i="7" s="1"/>
  <c r="G48" i="7"/>
  <c r="H24" i="7"/>
  <c r="P24" i="7" s="1"/>
  <c r="H6" i="7"/>
  <c r="H12" i="6"/>
  <c r="P12" i="6" s="1"/>
  <c r="G48" i="6"/>
  <c r="H24" i="6"/>
  <c r="P24" i="6" s="1"/>
  <c r="H36" i="6"/>
  <c r="P36" i="6" s="1"/>
  <c r="H6" i="6"/>
  <c r="G48" i="5"/>
  <c r="H18" i="5"/>
  <c r="P18" i="5" s="1"/>
  <c r="H24" i="5"/>
  <c r="P24" i="5" s="1"/>
  <c r="H36" i="5"/>
  <c r="P36" i="5" s="1"/>
  <c r="H6" i="5"/>
  <c r="G48" i="4"/>
  <c r="H12" i="4"/>
  <c r="P12" i="4" s="1"/>
  <c r="H24" i="4"/>
  <c r="P24" i="4" s="1"/>
  <c r="H36" i="4"/>
  <c r="P36" i="4" s="1"/>
  <c r="H6" i="4"/>
  <c r="H24" i="2"/>
  <c r="P24" i="2" s="1"/>
  <c r="H18" i="2"/>
  <c r="P18" i="2" s="1"/>
  <c r="G48" i="2"/>
  <c r="H6" i="2"/>
  <c r="H30" i="1"/>
  <c r="P30" i="1" s="1"/>
  <c r="H36" i="1"/>
  <c r="P36" i="1" s="1"/>
  <c r="H24" i="1"/>
  <c r="P24" i="1" s="1"/>
  <c r="H18" i="1"/>
  <c r="P18" i="1" s="1"/>
  <c r="H42" i="1"/>
  <c r="P42" i="1" s="1"/>
  <c r="H48" i="1" l="1"/>
  <c r="H48" i="7"/>
  <c r="H48" i="9"/>
  <c r="H48" i="8"/>
  <c r="P6" i="8"/>
  <c r="P6" i="7"/>
  <c r="H48" i="6"/>
  <c r="P6" i="6"/>
  <c r="H48" i="5"/>
  <c r="P6" i="5"/>
  <c r="H48" i="4"/>
  <c r="P6" i="4"/>
  <c r="H48" i="2"/>
  <c r="P6" i="2"/>
</calcChain>
</file>

<file path=xl/sharedStrings.xml><?xml version="1.0" encoding="utf-8"?>
<sst xmlns="http://schemas.openxmlformats.org/spreadsheetml/2006/main" count="1177" uniqueCount="150">
  <si>
    <t>MAKİNE NO</t>
  </si>
  <si>
    <t>OPERATÖRLER</t>
  </si>
  <si>
    <t>ÇALIŞILAN ÜRÜN</t>
  </si>
  <si>
    <t>GERÇEKLEŞEN ÜRETİM (ad)</t>
  </si>
  <si>
    <t>S 08/16</t>
  </si>
  <si>
    <t>A 16/24</t>
  </si>
  <si>
    <t>G 24/08</t>
  </si>
  <si>
    <t>MAKİNE BAZLI TOPLAM (ad)</t>
  </si>
  <si>
    <t>AKTİF ÇALIŞMA SÜRESİ (dk)</t>
  </si>
  <si>
    <t>HEDEF GERÇEKLEŞME ORANI(%)</t>
  </si>
  <si>
    <t>TÜM GÜN</t>
  </si>
  <si>
    <t>DURUŞ SBEEPLERİ</t>
  </si>
  <si>
    <t>124 GR 6,73 - 6,78</t>
  </si>
  <si>
    <t>5,56x45 2,45 - 2,50</t>
  </si>
  <si>
    <t>123 NOLU MAKİNELER TEL OLMADIĞINDAN 13:00 DA KAPATILDI. DİĞER MAKİNELER TE TEL OLMAMASINA İSTİNADEN 14:30 DA KAPATILDI.</t>
  </si>
  <si>
    <t>TEL OLMADIĞINDAN DOLAYI MAKİNE 4:31 DE ÇALIŞMAYA BAŞLADI</t>
  </si>
  <si>
    <t>DURUŞ VE ARIZA BELİRTİLMEDİ</t>
  </si>
  <si>
    <t xml:space="preserve"> FİRE (kg)</t>
  </si>
  <si>
    <t>ÜRÜN TOPLAM (ad)</t>
  </si>
  <si>
    <t>ÜRETİM HEDEFİ GÜN</t>
  </si>
  <si>
    <t>ÜRETİM HEDEFİ VARDİYA</t>
  </si>
  <si>
    <t>TARİH : 8.08.2026</t>
  </si>
  <si>
    <t>LEAD CORE PRES MAKİNELERİ ÜRETİM VERİLERİ</t>
  </si>
  <si>
    <t>VARDİYA TOPLAM</t>
  </si>
  <si>
    <t>TARİH : 10.08.2026</t>
  </si>
  <si>
    <t>155 GR 6,05 - 6,10</t>
  </si>
  <si>
    <t>124 GRAİN ÜÜRNDEN 115 GRAİN ÜRÜNE GEÇİŞ YAPILDI.</t>
  </si>
  <si>
    <t>5,56x45 2,07 - 2,10</t>
  </si>
  <si>
    <t>13:48 DE 4 MM TEL BİTTİĞİNDEN DOLAYI MAKİNEDE ÜRETİM DURDURULDU.</t>
  </si>
  <si>
    <t>13:42 4 MM TEL BİTTİĞİNDEN DOLAYI ÜRETİM DURDURLDU.</t>
  </si>
  <si>
    <t>DURUŞ VE ARIZA BİLGİSİ BELİRTİLMEDİ.</t>
  </si>
  <si>
    <t>MAKİNENİN MOTORU ARIZALANDI, RULMAN DAĞITTIĞI İÇİN BAKIMCI VOLKAN USTA VE ELEKTRİKÇİ ALİ USTA ARIZAYI GİDERDİ. 240 DK DURUŞ OLDU.</t>
  </si>
  <si>
    <t>4 MM TEL GELDİĞİMİZDE YOKTU. 20:48 DE MAKİNE ÇALIŞTIRILDI.</t>
  </si>
  <si>
    <t>13:14 TE TEL BİTTİĞİDEN DOLAYI MAKİNE DURDURULDU.</t>
  </si>
  <si>
    <t>11:40 DA TEL BİTTİĞİNDEN DOLAYI MAKİNE DURDURULDU</t>
  </si>
  <si>
    <t>DURUŞ YOK. ARIZA BELİRTİLMEDİ.</t>
  </si>
  <si>
    <t>6 MM TEL AZ OLDUĞUNDAN MAKİNE MOLALARDA KAPATILDI.</t>
  </si>
  <si>
    <t>115 GR 6,20 - 6,25</t>
  </si>
  <si>
    <t>GELDİĞİMİZDE ÜRÜN DEĞİŞİMİ YAPTIK. 6.73 - 6,78 E ÇEVİRDİK. 16:32 DE BAŞLADI ÜRETİM. 17:13 DE KÖKSAL BEYİN TALİMATI İLE 6,20 - 6,25 İÇİN TEKRAR ÇEVİRİLDİ.</t>
  </si>
  <si>
    <t>4 MM TEL OLMADIĞINDAN MAKİNE KAPALI KALDI.</t>
  </si>
  <si>
    <t>TARİH : 11.08.2026</t>
  </si>
  <si>
    <t>TEL 11:20 DE GELDİ MAKİNE ÇALIŞTIRILDI.</t>
  </si>
  <si>
    <t>DUURŞ VE ARIZA BİLDİRİLMEMİŞ</t>
  </si>
  <si>
    <t>1 ADET LEAD CORE BASKI ZIMBASI KIRILDI.</t>
  </si>
  <si>
    <t>DURUŞ VE ARIZA BİLDİRİLMEMİŞ</t>
  </si>
  <si>
    <t>TELLE SICAK OLDUĞUNDAN MOLALARDA ÇALIŞMADI</t>
  </si>
  <si>
    <t>KARE MİL KIRILDI, ÇENE DEĞİŞTİ, MANDAL, MANDAN TUTUCU MAFSAL PİMİ VE 1 ADET BASKI ZIMBASI DEĞİŞTİ.</t>
  </si>
  <si>
    <t>TARİH : 12.08.2026</t>
  </si>
  <si>
    <t>TARİH : 13.08.2026</t>
  </si>
  <si>
    <t>14:50 DE TEL BİTTİĞİNDEN DOLAYI MAKİNE DURDURULDU.</t>
  </si>
  <si>
    <t>1 ADET KOL RULMANNI DEĞİŞTİ 30 DK DURUŞ OLDU.</t>
  </si>
  <si>
    <t>TEL OLMADIĞINDNA DOLAYI ÜRETİM YAPILAMADI.</t>
  </si>
  <si>
    <t>TEL OLMADIĞINDAN DOLAUI MAKİNE 03:35 TE ÇALIŞTIRILDI.</t>
  </si>
  <si>
    <t>TARİH : 14.08.2026</t>
  </si>
  <si>
    <t>13:33 te 4 MM TEL BİİTİĞİNDEN DOLAYI MAKİNELR DURDURULDU.</t>
  </si>
  <si>
    <t>15:20 DE TEL BİTTİĞİNDEN DOLAYI MAKİNE DURDURULDU.</t>
  </si>
  <si>
    <t>1 ADET DİRSEK YAĞLAMA PARÇASI DEĞİŞTİ. 15 DK DURUŞ OLDU.</t>
  </si>
  <si>
    <t>4 MM TEL OLMADIĞINDAN DOLAYI ÜRETİM OLMADI</t>
  </si>
  <si>
    <t>TEL OLMADIĞINDAN MAKİNE 03:25 TE ÇALIŞTIIRLDI.</t>
  </si>
  <si>
    <t>ARIZA VE DURUŞ BİLGİSİ BELİRTİLMEDİ.</t>
  </si>
  <si>
    <t>MİTHAT YILMAZ</t>
  </si>
  <si>
    <t>SABAH</t>
  </si>
  <si>
    <t>DURUM</t>
  </si>
  <si>
    <t>AKŞAM</t>
  </si>
  <si>
    <t>GECE</t>
  </si>
  <si>
    <t>H-YARIM</t>
  </si>
  <si>
    <t>TARİH : 15.08.2026</t>
  </si>
  <si>
    <t>13:55 TE TEL 4 MM TEL BİTTİĞİ İÇİN MAKİNE DURDURULDU.</t>
  </si>
  <si>
    <t>1 ADET BASKI ZIMBASI DEĞİŞTİRİLDİ.</t>
  </si>
  <si>
    <t>4 MM TEL OLMADIĞINDAN DOLAYI MAKİNE 20:20 DE ÇALIŞMAYA BAŞLADI.</t>
  </si>
  <si>
    <t>4 MM TEL OLMADIĞINDAN DOLAYI MAKİNE 20:20 DE ÇALIŞMAYA BAŞLADI.1 ADET BASKI ZIMBASI DEĞİŞTİ.</t>
  </si>
  <si>
    <t>1 ADET LEAD CORE BASKI ZIMBASI DEĞİŞTİ.</t>
  </si>
  <si>
    <t>TARİH : 16.08.2026</t>
  </si>
  <si>
    <t>1 ADET BASKI ZIMBASI DEĞİŞTİ.</t>
  </si>
  <si>
    <t>OP-YOK</t>
  </si>
  <si>
    <t>KULLANILAN MAKARALAR</t>
  </si>
  <si>
    <t xml:space="preserve">MİTHAT YILMAZ </t>
  </si>
  <si>
    <t>CAN DANYAL TETİK</t>
  </si>
  <si>
    <t>FATİH MERT</t>
  </si>
  <si>
    <t xml:space="preserve">CAN DANYAL TETİK </t>
  </si>
  <si>
    <t>TARİH : 17.08.2026</t>
  </si>
  <si>
    <t>8-48-41-39-18</t>
  </si>
  <si>
    <t>28-42-55-1-30-8</t>
  </si>
  <si>
    <t>87-61-67-17-26-36-30</t>
  </si>
  <si>
    <t>86-63-68-16-19-23</t>
  </si>
  <si>
    <t>84-74-62-57-25-22-32</t>
  </si>
  <si>
    <t>83-65-50-18-78-21-31</t>
  </si>
  <si>
    <t>KARE MİL, VE BASKI ZIMBASI DEĞİŞTİ.</t>
  </si>
  <si>
    <t>TEL OLMADIĞINDAN DOLAYI KAPALIYDI.</t>
  </si>
  <si>
    <t>TEL OLMADIĞI İÇİN MAKİNE 20:20 DE ÇALIŞTIRILDI.</t>
  </si>
  <si>
    <t>ARIZA VE DURUŞ BİLGİSİ YOK</t>
  </si>
  <si>
    <t>SERVİS GEÇ KALDIĞI İÇİN ÜRETİME 30 DK GEÇ BAŞLANDI.</t>
  </si>
  <si>
    <t>SERVİS GEÇ KALDIĞI İÇİN ÜRETİME 30 DK GEÇ BAŞLANDI.SAAT 12:40 DE TEL BİTTİ MAKİNE DURDURULDU.</t>
  </si>
  <si>
    <t>SERVİS GEÇ KALDIĞI İÇİN ÜRETİME 30 DK GEÇ BAŞLANDI.SAAT 10:55 DE TEL BİTTİ MAKİNE DURDURULDU.</t>
  </si>
  <si>
    <t>11-34-7-13</t>
  </si>
  <si>
    <t>54-59-10</t>
  </si>
  <si>
    <t>3-29-15-6-41</t>
  </si>
  <si>
    <t>74-76-69-12-1-5</t>
  </si>
  <si>
    <t>8-22-27-85-33-49</t>
  </si>
  <si>
    <t>53-58-61-50-20-77</t>
  </si>
  <si>
    <t>89-81-25-90-40-26</t>
  </si>
  <si>
    <t>31-9-17-2-6-87</t>
  </si>
  <si>
    <t>82-64-66-24-89-35</t>
  </si>
  <si>
    <t>94-15-19-36-34</t>
  </si>
  <si>
    <t>22-55-63-60-9-4</t>
  </si>
  <si>
    <t>7-8-32-51-18--51</t>
  </si>
  <si>
    <t>77-69-35-25-27-49</t>
  </si>
  <si>
    <t>13-57-64-87-1-3</t>
  </si>
  <si>
    <t>T-ARIZA</t>
  </si>
  <si>
    <t>M-YOK</t>
  </si>
  <si>
    <t>Y-ARIZA</t>
  </si>
  <si>
    <t>8-22-12-5-9-31</t>
  </si>
  <si>
    <t>21-50-62-45-94-2</t>
  </si>
  <si>
    <t>19-23-75-85-46-34</t>
  </si>
  <si>
    <t>18-11-52-7-16-63</t>
  </si>
  <si>
    <t>88-4-5-33-17-52</t>
  </si>
  <si>
    <t>39-44-80-9-13-15</t>
  </si>
  <si>
    <t>61-25-23-15-86-79</t>
  </si>
  <si>
    <t>18-56-1-6-3-27</t>
  </si>
  <si>
    <t>BOŞ</t>
  </si>
  <si>
    <t>YUNUS EMRE ALTK.</t>
  </si>
  <si>
    <t>İBRAHİM KILIÇ</t>
  </si>
  <si>
    <t>MEHMET BOLAT</t>
  </si>
  <si>
    <t>TARİH : 18.08.2026</t>
  </si>
  <si>
    <t>MAKİNENİN TEL ÇEKME GÖVDESİ TORNAYA GİTTİ VARDİYA  SONU GELDİ.1 ADET LEAD CORE BASKI ZIMBASI VE BİR ADET MANDAL TUTUCU GÖVDE DEĞİŞTİ.</t>
  </si>
  <si>
    <t>MAKİNE ARIZALIYDI 20 DK DURUŞ YAŞANDI.</t>
  </si>
  <si>
    <t>32-27-33-17-70-56-58</t>
  </si>
  <si>
    <t>31-69-71-55-15-53</t>
  </si>
  <si>
    <t>23-28</t>
  </si>
  <si>
    <t>30-73-6-54-48-52-60</t>
  </si>
  <si>
    <t>35-75-95-16-51-88-49</t>
  </si>
  <si>
    <t>8-38-33-27</t>
  </si>
  <si>
    <t>18-55-48-41</t>
  </si>
  <si>
    <t>83-94-64-57-18-26</t>
  </si>
  <si>
    <t>86-81-61-87-68-21</t>
  </si>
  <si>
    <t>59-29-82-16-19</t>
  </si>
  <si>
    <t>MAKİNE ADET SAYMA SENSÖRÜ ARIZALIYDI, SONRADAN FARK EDİLDİ. ADET SAYISI EKSİK OLABİLİR.</t>
  </si>
  <si>
    <t>8-85-63-65-24-67</t>
  </si>
  <si>
    <t>47-84-62-74-66-50</t>
  </si>
  <si>
    <t>TEL OLMADIĞINDAN DOLAYI MAKİNE 16-15 TE KAPATILDI.</t>
  </si>
  <si>
    <t>26-70-46-13-49-84-86-20</t>
  </si>
  <si>
    <t>21-48-51-52-60-29-81-57</t>
  </si>
  <si>
    <t>19-55-9-15-53-6-85-26</t>
  </si>
  <si>
    <t>67-25-72-88-58-56-83-74</t>
  </si>
  <si>
    <t>50-20-54-28-92-87-94</t>
  </si>
  <si>
    <t>45-41-19</t>
  </si>
  <si>
    <t>TEL OLMADIĞINDAN DOLAYI MAKİNE 03:35 TE BAŞLADI.</t>
  </si>
  <si>
    <t>TEL OLMADIĞINDAN DOLAYI MAKİNE 02:40 DA ÇALIŞTILDI.</t>
  </si>
  <si>
    <t>ARIZA VE DUURŞ BİLGİSİ BELİRTİLMEDİ.</t>
  </si>
  <si>
    <t>34-54-56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</si>
</sst>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9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5" borderId="6" xfId="0" applyFont="1" applyFill="1" applyBorder="1"/>
    <xf numFmtId="0" fontId="1" fillId="6" borderId="2" xfId="0" applyFont="1" applyFill="1" applyBorder="1"/>
    <xf numFmtId="0" fontId="0" fillId="7" borderId="16" xfId="0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/>
    <xf numFmtId="0" fontId="0" fillId="9" borderId="0" xfId="0" applyFill="1" applyAlignment="1">
      <alignment horizontal="center" vertical="center"/>
    </xf>
    <xf numFmtId="0" fontId="0" fillId="9" borderId="0" xfId="0" applyFill="1"/>
    <xf numFmtId="0" fontId="1" fillId="9" borderId="0" xfId="0" applyFont="1" applyFill="1" applyAlignment="1">
      <alignment horizontal="center" vertical="center"/>
    </xf>
    <xf numFmtId="0" fontId="1" fillId="9" borderId="0" xfId="0" applyFont="1" applyFill="1"/>
    <xf numFmtId="0" fontId="1" fillId="0" borderId="4" xfId="0" applyFont="1" applyBorder="1"/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6" borderId="6" xfId="0" applyFont="1" applyFill="1" applyBorder="1"/>
    <xf numFmtId="0" fontId="1" fillId="8" borderId="0" xfId="0" applyFont="1" applyFill="1"/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1" fillId="9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9" borderId="20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9" borderId="2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0" borderId="19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3" borderId="1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68580</xdr:rowOff>
    </xdr:from>
    <xdr:to>
      <xdr:col>2</xdr:col>
      <xdr:colOff>594360</xdr:colOff>
      <xdr:row>2</xdr:row>
      <xdr:rowOff>121920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F14E8B0-95C8-4AC9-D9C9-D5CE7F65D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68580"/>
          <a:ext cx="1744980" cy="434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68580</xdr:rowOff>
    </xdr:from>
    <xdr:to>
      <xdr:col>2</xdr:col>
      <xdr:colOff>594360</xdr:colOff>
      <xdr:row>2</xdr:row>
      <xdr:rowOff>121920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1360E5B-8458-4888-A059-5796856E2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68580"/>
          <a:ext cx="1744980" cy="434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68580</xdr:rowOff>
    </xdr:from>
    <xdr:to>
      <xdr:col>2</xdr:col>
      <xdr:colOff>594360</xdr:colOff>
      <xdr:row>2</xdr:row>
      <xdr:rowOff>121920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43008B0-253E-409B-B490-5B244EEFF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68580"/>
          <a:ext cx="1744980" cy="434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68580</xdr:rowOff>
    </xdr:from>
    <xdr:to>
      <xdr:col>2</xdr:col>
      <xdr:colOff>594360</xdr:colOff>
      <xdr:row>2</xdr:row>
      <xdr:rowOff>121920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442AC4C-E09A-4850-A1F1-425806517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68580"/>
          <a:ext cx="1744980" cy="434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68580</xdr:rowOff>
    </xdr:from>
    <xdr:to>
      <xdr:col>2</xdr:col>
      <xdr:colOff>594360</xdr:colOff>
      <xdr:row>2</xdr:row>
      <xdr:rowOff>121920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219A3D33-CC1E-43D7-99EF-D8D178FB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68580"/>
          <a:ext cx="1744980" cy="434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249804</xdr:colOff>
      <xdr:row>0</xdr:row>
      <xdr:rowOff>75206</xdr:rowOff>
    </xdr:from>
    <xdr:to>
      <xdr:col>2</xdr:col>
      <xdr:colOff>574482</xdr:colOff>
      <xdr:row>2</xdr:row>
      <xdr:rowOff>128546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FF89784-A27A-412F-A86E-24B7FBA4D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804" y="75206"/>
          <a:ext cx="1749287" cy="43765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249804</xdr:colOff>
      <xdr:row>0</xdr:row>
      <xdr:rowOff>75206</xdr:rowOff>
    </xdr:from>
    <xdr:to>
      <xdr:col>2</xdr:col>
      <xdr:colOff>574482</xdr:colOff>
      <xdr:row>2</xdr:row>
      <xdr:rowOff>128546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92A6F31-29D2-4363-B847-2426C379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804" y="75206"/>
          <a:ext cx="1749618" cy="434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249804</xdr:colOff>
      <xdr:row>0</xdr:row>
      <xdr:rowOff>75206</xdr:rowOff>
    </xdr:from>
    <xdr:to>
      <xdr:col>2</xdr:col>
      <xdr:colOff>574482</xdr:colOff>
      <xdr:row>2</xdr:row>
      <xdr:rowOff>128546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35B4978-1D76-47C2-A8AE-D139D7059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804" y="75206"/>
          <a:ext cx="1749618" cy="4343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249804</xdr:colOff>
      <xdr:row>0</xdr:row>
      <xdr:rowOff>75206</xdr:rowOff>
    </xdr:from>
    <xdr:to>
      <xdr:col>2</xdr:col>
      <xdr:colOff>574482</xdr:colOff>
      <xdr:row>2</xdr:row>
      <xdr:rowOff>128546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956FF9A-C6EE-444D-A5D0-FFA3D277C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804" y="75206"/>
          <a:ext cx="1749618" cy="4343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249804</xdr:colOff>
      <xdr:row>0</xdr:row>
      <xdr:rowOff>75206</xdr:rowOff>
    </xdr:from>
    <xdr:to>
      <xdr:col>2</xdr:col>
      <xdr:colOff>574482</xdr:colOff>
      <xdr:row>2</xdr:row>
      <xdr:rowOff>128546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BDE5211-6717-4A89-ADFC-1329B9DC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804" y="75206"/>
          <a:ext cx="1749618" cy="434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opLeftCell="A4" zoomScaleNormal="100" workbookViewId="0">
      <selection activeCell="D14" sqref="D14:D15"/>
    </sheetView>
  </sheetViews>
  <sheetFormatPr defaultRowHeight="14.4" x14ac:dyDescent="0.3"/>
  <cols>
    <col min="1" max="1" width="7.88671875" customWidth="1"/>
    <col min="2" max="2" width="13.1093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9" width="20.77734375" customWidth="1"/>
  </cols>
  <sheetData>
    <row r="1" spans="1:19" ht="15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9" t="s">
        <v>21</v>
      </c>
      <c r="S1" s="90"/>
    </row>
    <row r="2" spans="1:19" ht="15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7" t="s">
        <v>19</v>
      </c>
      <c r="S2" s="7" t="s">
        <v>20</v>
      </c>
    </row>
    <row r="3" spans="1:19" ht="15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8">
        <v>270000</v>
      </c>
      <c r="S3" s="6">
        <v>90000</v>
      </c>
    </row>
    <row r="4" spans="1:19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6" t="s">
        <v>11</v>
      </c>
      <c r="R4" s="67"/>
      <c r="S4" s="68"/>
    </row>
    <row r="5" spans="1:19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5" t="s">
        <v>10</v>
      </c>
      <c r="Q5" s="1" t="s">
        <v>4</v>
      </c>
      <c r="R5" s="2" t="s">
        <v>5</v>
      </c>
      <c r="S5" s="3" t="s">
        <v>6</v>
      </c>
    </row>
    <row r="6" spans="1:19" ht="15" customHeight="1" x14ac:dyDescent="0.3">
      <c r="A6" s="59">
        <v>1</v>
      </c>
      <c r="B6" s="12" t="s">
        <v>60</v>
      </c>
      <c r="C6" s="46" t="s">
        <v>12</v>
      </c>
      <c r="D6" s="46">
        <v>29835</v>
      </c>
      <c r="E6" s="46">
        <v>76796</v>
      </c>
      <c r="F6" s="46">
        <v>72332</v>
      </c>
      <c r="G6" s="46">
        <f>SUM(D6:F7)</f>
        <v>178963</v>
      </c>
      <c r="H6" s="43">
        <f>SUM(G6:G10)</f>
        <v>178963</v>
      </c>
      <c r="I6" s="43">
        <v>173</v>
      </c>
      <c r="J6" s="43">
        <v>430</v>
      </c>
      <c r="K6" s="43">
        <v>420</v>
      </c>
      <c r="L6" s="43"/>
      <c r="M6" s="34">
        <f>(100*D6)/$S$3</f>
        <v>33.15</v>
      </c>
      <c r="N6" s="34">
        <f t="shared" ref="N6:O6" si="0">(100*E6)/$S$3</f>
        <v>85.328888888888883</v>
      </c>
      <c r="O6" s="34">
        <f t="shared" si="0"/>
        <v>80.36888888888889</v>
      </c>
      <c r="P6" s="34">
        <f>(H6*100)/$R$3</f>
        <v>66.282592592592593</v>
      </c>
      <c r="Q6" s="50" t="s">
        <v>14</v>
      </c>
      <c r="R6" s="50" t="s">
        <v>16</v>
      </c>
      <c r="S6" s="50" t="s">
        <v>16</v>
      </c>
    </row>
    <row r="7" spans="1:19" ht="15" customHeight="1" x14ac:dyDescent="0.3">
      <c r="A7" s="59"/>
      <c r="B7" s="10" t="s">
        <v>119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34"/>
      <c r="N7" s="34"/>
      <c r="O7" s="34"/>
      <c r="P7" s="34"/>
      <c r="Q7" s="50"/>
      <c r="R7" s="50"/>
      <c r="S7" s="50"/>
    </row>
    <row r="8" spans="1:19" ht="15" customHeight="1" x14ac:dyDescent="0.3">
      <c r="A8" s="54"/>
      <c r="B8" s="10" t="s">
        <v>121</v>
      </c>
      <c r="C8" s="42"/>
      <c r="D8" s="42"/>
      <c r="E8" s="42"/>
      <c r="F8" s="42"/>
      <c r="G8" s="42">
        <f>SUM(D8:F8)</f>
        <v>0</v>
      </c>
      <c r="H8" s="53"/>
      <c r="I8" s="53"/>
      <c r="J8" s="53"/>
      <c r="K8" s="53"/>
      <c r="L8" s="53"/>
      <c r="M8" s="49"/>
      <c r="N8" s="49"/>
      <c r="O8" s="49"/>
      <c r="P8" s="49"/>
      <c r="Q8" s="51"/>
      <c r="R8" s="51"/>
      <c r="S8" s="51"/>
    </row>
    <row r="9" spans="1:19" ht="15" customHeight="1" x14ac:dyDescent="0.3">
      <c r="A9" s="54"/>
      <c r="B9" s="10" t="s">
        <v>122</v>
      </c>
      <c r="C9" s="43"/>
      <c r="D9" s="43"/>
      <c r="E9" s="43"/>
      <c r="F9" s="43"/>
      <c r="G9" s="43"/>
      <c r="H9" s="53"/>
      <c r="I9" s="53"/>
      <c r="J9" s="53"/>
      <c r="K9" s="53"/>
      <c r="L9" s="53"/>
      <c r="M9" s="49"/>
      <c r="N9" s="49"/>
      <c r="O9" s="49"/>
      <c r="P9" s="49"/>
      <c r="Q9" s="51"/>
      <c r="R9" s="51"/>
      <c r="S9" s="51"/>
    </row>
    <row r="10" spans="1:19" ht="15" customHeight="1" x14ac:dyDescent="0.3">
      <c r="A10" s="54"/>
      <c r="B10" s="10" t="s">
        <v>79</v>
      </c>
      <c r="C10" s="42"/>
      <c r="D10" s="42"/>
      <c r="E10" s="42"/>
      <c r="F10" s="42"/>
      <c r="G10" s="42">
        <f>SUM(D10:F10)</f>
        <v>0</v>
      </c>
      <c r="H10" s="53"/>
      <c r="I10" s="53"/>
      <c r="J10" s="53"/>
      <c r="K10" s="53"/>
      <c r="L10" s="53"/>
      <c r="M10" s="49"/>
      <c r="N10" s="49"/>
      <c r="O10" s="49"/>
      <c r="P10" s="49"/>
      <c r="Q10" s="51"/>
      <c r="R10" s="51"/>
      <c r="S10" s="51"/>
    </row>
    <row r="11" spans="1:19" ht="15" customHeight="1" thickBot="1" x14ac:dyDescent="0.35">
      <c r="A11" s="54"/>
      <c r="B11" s="11" t="s">
        <v>78</v>
      </c>
      <c r="C11" s="43"/>
      <c r="D11" s="43"/>
      <c r="E11" s="43"/>
      <c r="F11" s="43"/>
      <c r="G11" s="43"/>
      <c r="H11" s="53"/>
      <c r="I11" s="53"/>
      <c r="J11" s="53"/>
      <c r="K11" s="53"/>
      <c r="L11" s="53"/>
      <c r="M11" s="49"/>
      <c r="N11" s="49"/>
      <c r="O11" s="49"/>
      <c r="P11" s="49"/>
      <c r="Q11" s="51"/>
      <c r="R11" s="51"/>
      <c r="S11" s="51"/>
    </row>
    <row r="12" spans="1:19" ht="15" customHeight="1" x14ac:dyDescent="0.3">
      <c r="A12" s="54">
        <v>2</v>
      </c>
      <c r="B12" s="12" t="s">
        <v>60</v>
      </c>
      <c r="C12" s="42" t="s">
        <v>12</v>
      </c>
      <c r="D12" s="42">
        <v>31304</v>
      </c>
      <c r="E12" s="42">
        <v>75006</v>
      </c>
      <c r="F12" s="42">
        <v>70364</v>
      </c>
      <c r="G12" s="46">
        <f>SUM(D12:F12)</f>
        <v>176674</v>
      </c>
      <c r="H12" s="43">
        <f>SUM(G12:G16)</f>
        <v>176674</v>
      </c>
      <c r="I12" s="53">
        <v>186</v>
      </c>
      <c r="J12" s="53">
        <v>432</v>
      </c>
      <c r="K12" s="53">
        <v>420</v>
      </c>
      <c r="L12" s="53"/>
      <c r="M12" s="34">
        <f>(100*D12)/$S$3</f>
        <v>34.782222222222224</v>
      </c>
      <c r="N12" s="34">
        <f t="shared" ref="N12" si="1">(100*E12)/$S$3</f>
        <v>83.34</v>
      </c>
      <c r="O12" s="34">
        <f t="shared" ref="O12" si="2">(100*F12)/$S$3</f>
        <v>78.182222222222222</v>
      </c>
      <c r="P12" s="34">
        <f>(H12*100)/$R$3</f>
        <v>65.434814814814814</v>
      </c>
      <c r="Q12" s="50" t="s">
        <v>14</v>
      </c>
      <c r="R12" s="50" t="s">
        <v>16</v>
      </c>
      <c r="S12" s="50" t="s">
        <v>16</v>
      </c>
    </row>
    <row r="13" spans="1:19" ht="15" customHeight="1" x14ac:dyDescent="0.3">
      <c r="A13" s="54"/>
      <c r="B13" s="10" t="s">
        <v>119</v>
      </c>
      <c r="C13" s="43"/>
      <c r="D13" s="43"/>
      <c r="E13" s="43"/>
      <c r="F13" s="43"/>
      <c r="G13" s="43"/>
      <c r="H13" s="43"/>
      <c r="I13" s="53"/>
      <c r="J13" s="53"/>
      <c r="K13" s="53"/>
      <c r="L13" s="53"/>
      <c r="M13" s="34"/>
      <c r="N13" s="34"/>
      <c r="O13" s="34"/>
      <c r="P13" s="34"/>
      <c r="Q13" s="50"/>
      <c r="R13" s="50"/>
      <c r="S13" s="50"/>
    </row>
    <row r="14" spans="1:19" ht="15" customHeight="1" x14ac:dyDescent="0.3">
      <c r="A14" s="54"/>
      <c r="B14" s="10" t="s">
        <v>121</v>
      </c>
      <c r="C14" s="42"/>
      <c r="D14" s="42"/>
      <c r="E14" s="42"/>
      <c r="F14" s="42"/>
      <c r="G14" s="42">
        <f>SUM(D14:F14)</f>
        <v>0</v>
      </c>
      <c r="H14" s="53"/>
      <c r="I14" s="53"/>
      <c r="J14" s="53"/>
      <c r="K14" s="53"/>
      <c r="L14" s="53"/>
      <c r="M14" s="49"/>
      <c r="N14" s="49"/>
      <c r="O14" s="49"/>
      <c r="P14" s="49"/>
      <c r="Q14" s="51"/>
      <c r="R14" s="51"/>
      <c r="S14" s="51"/>
    </row>
    <row r="15" spans="1:19" ht="15" customHeight="1" x14ac:dyDescent="0.3">
      <c r="A15" s="54"/>
      <c r="B15" s="10" t="s">
        <v>122</v>
      </c>
      <c r="C15" s="43"/>
      <c r="D15" s="43"/>
      <c r="E15" s="43"/>
      <c r="F15" s="43"/>
      <c r="G15" s="43"/>
      <c r="H15" s="53"/>
      <c r="I15" s="53"/>
      <c r="J15" s="53"/>
      <c r="K15" s="53"/>
      <c r="L15" s="53"/>
      <c r="M15" s="49"/>
      <c r="N15" s="49"/>
      <c r="O15" s="49"/>
      <c r="P15" s="49"/>
      <c r="Q15" s="51"/>
      <c r="R15" s="51"/>
      <c r="S15" s="51"/>
    </row>
    <row r="16" spans="1:19" ht="15" customHeight="1" x14ac:dyDescent="0.3">
      <c r="A16" s="54"/>
      <c r="B16" s="10" t="s">
        <v>79</v>
      </c>
      <c r="C16" s="42"/>
      <c r="D16" s="42"/>
      <c r="E16" s="42"/>
      <c r="F16" s="42"/>
      <c r="G16" s="42">
        <f>SUM(D16:F16)</f>
        <v>0</v>
      </c>
      <c r="H16" s="53"/>
      <c r="I16" s="53"/>
      <c r="J16" s="53"/>
      <c r="K16" s="53"/>
      <c r="L16" s="53"/>
      <c r="M16" s="49"/>
      <c r="N16" s="49"/>
      <c r="O16" s="49"/>
      <c r="P16" s="49"/>
      <c r="Q16" s="51"/>
      <c r="R16" s="51"/>
      <c r="S16" s="51"/>
    </row>
    <row r="17" spans="1:19" ht="15" customHeight="1" thickBot="1" x14ac:dyDescent="0.35">
      <c r="A17" s="54"/>
      <c r="B17" s="11" t="s">
        <v>78</v>
      </c>
      <c r="C17" s="43"/>
      <c r="D17" s="43"/>
      <c r="E17" s="43"/>
      <c r="F17" s="43"/>
      <c r="G17" s="43"/>
      <c r="H17" s="53"/>
      <c r="I17" s="53"/>
      <c r="J17" s="53"/>
      <c r="K17" s="53"/>
      <c r="L17" s="53"/>
      <c r="M17" s="49"/>
      <c r="N17" s="49"/>
      <c r="O17" s="49"/>
      <c r="P17" s="49"/>
      <c r="Q17" s="51"/>
      <c r="R17" s="51"/>
      <c r="S17" s="51"/>
    </row>
    <row r="18" spans="1:19" ht="15" customHeight="1" x14ac:dyDescent="0.3">
      <c r="A18" s="54">
        <v>3</v>
      </c>
      <c r="B18" s="12" t="s">
        <v>60</v>
      </c>
      <c r="C18" s="42" t="s">
        <v>12</v>
      </c>
      <c r="D18" s="42">
        <v>34241</v>
      </c>
      <c r="E18" s="42">
        <v>80613</v>
      </c>
      <c r="F18" s="42">
        <v>74502</v>
      </c>
      <c r="G18" s="46">
        <f>SUM(D18:F19)</f>
        <v>189356</v>
      </c>
      <c r="H18" s="43">
        <f>SUM(G18:G22)</f>
        <v>189356</v>
      </c>
      <c r="I18" s="53"/>
      <c r="J18" s="53"/>
      <c r="K18" s="53"/>
      <c r="L18" s="53"/>
      <c r="M18" s="34">
        <f t="shared" ref="M18" si="3">(100*D18)/$S$3</f>
        <v>38.045555555555552</v>
      </c>
      <c r="N18" s="34">
        <f t="shared" ref="N18" si="4">(100*E18)/$S$3</f>
        <v>89.57</v>
      </c>
      <c r="O18" s="34">
        <f t="shared" ref="O18" si="5">(100*F18)/$S$3</f>
        <v>82.78</v>
      </c>
      <c r="P18" s="34">
        <f t="shared" ref="P18" si="6">(H18*100)/$R$3</f>
        <v>70.131851851851849</v>
      </c>
      <c r="Q18" s="50" t="s">
        <v>14</v>
      </c>
      <c r="R18" s="50" t="s">
        <v>16</v>
      </c>
      <c r="S18" s="50" t="s">
        <v>16</v>
      </c>
    </row>
    <row r="19" spans="1:19" ht="15" customHeight="1" x14ac:dyDescent="0.3">
      <c r="A19" s="54"/>
      <c r="B19" s="10" t="s">
        <v>119</v>
      </c>
      <c r="C19" s="43"/>
      <c r="D19" s="43"/>
      <c r="E19" s="43"/>
      <c r="F19" s="43"/>
      <c r="G19" s="43"/>
      <c r="H19" s="43"/>
      <c r="I19" s="53"/>
      <c r="J19" s="53"/>
      <c r="K19" s="53"/>
      <c r="L19" s="53"/>
      <c r="M19" s="34"/>
      <c r="N19" s="34"/>
      <c r="O19" s="34"/>
      <c r="P19" s="34"/>
      <c r="Q19" s="50"/>
      <c r="R19" s="50"/>
      <c r="S19" s="50"/>
    </row>
    <row r="20" spans="1:19" ht="15" customHeight="1" x14ac:dyDescent="0.3">
      <c r="A20" s="54"/>
      <c r="B20" s="10" t="s">
        <v>121</v>
      </c>
      <c r="C20" s="42"/>
      <c r="D20" s="42"/>
      <c r="E20" s="42"/>
      <c r="F20" s="42"/>
      <c r="G20" s="42">
        <f>SUM(D20:F20)</f>
        <v>0</v>
      </c>
      <c r="H20" s="53"/>
      <c r="I20" s="53"/>
      <c r="J20" s="53"/>
      <c r="K20" s="53"/>
      <c r="L20" s="53"/>
      <c r="M20" s="49"/>
      <c r="N20" s="49"/>
      <c r="O20" s="49"/>
      <c r="P20" s="49"/>
      <c r="Q20" s="51"/>
      <c r="R20" s="51"/>
      <c r="S20" s="51"/>
    </row>
    <row r="21" spans="1:19" ht="15" customHeight="1" x14ac:dyDescent="0.3">
      <c r="A21" s="54"/>
      <c r="B21" s="10" t="s">
        <v>122</v>
      </c>
      <c r="C21" s="43"/>
      <c r="D21" s="43"/>
      <c r="E21" s="43"/>
      <c r="F21" s="43"/>
      <c r="G21" s="43"/>
      <c r="H21" s="53"/>
      <c r="I21" s="53"/>
      <c r="J21" s="53"/>
      <c r="K21" s="53"/>
      <c r="L21" s="53"/>
      <c r="M21" s="49"/>
      <c r="N21" s="49"/>
      <c r="O21" s="49"/>
      <c r="P21" s="49"/>
      <c r="Q21" s="51"/>
      <c r="R21" s="51"/>
      <c r="S21" s="51"/>
    </row>
    <row r="22" spans="1:19" ht="15" customHeight="1" x14ac:dyDescent="0.3">
      <c r="A22" s="54"/>
      <c r="B22" s="10" t="s">
        <v>79</v>
      </c>
      <c r="C22" s="42"/>
      <c r="D22" s="42"/>
      <c r="E22" s="42"/>
      <c r="F22" s="42"/>
      <c r="G22" s="42">
        <f>SUM(D22:F22)</f>
        <v>0</v>
      </c>
      <c r="H22" s="53"/>
      <c r="I22" s="53"/>
      <c r="J22" s="53"/>
      <c r="K22" s="53"/>
      <c r="L22" s="53"/>
      <c r="M22" s="49"/>
      <c r="N22" s="49"/>
      <c r="O22" s="49"/>
      <c r="P22" s="49"/>
      <c r="Q22" s="51"/>
      <c r="R22" s="51"/>
      <c r="S22" s="51"/>
    </row>
    <row r="23" spans="1:19" ht="15" customHeight="1" thickBot="1" x14ac:dyDescent="0.35">
      <c r="A23" s="54"/>
      <c r="B23" s="11" t="s">
        <v>78</v>
      </c>
      <c r="C23" s="43"/>
      <c r="D23" s="43"/>
      <c r="E23" s="43"/>
      <c r="F23" s="43"/>
      <c r="G23" s="43"/>
      <c r="H23" s="53"/>
      <c r="I23" s="53"/>
      <c r="J23" s="53"/>
      <c r="K23" s="53"/>
      <c r="L23" s="53"/>
      <c r="M23" s="49"/>
      <c r="N23" s="49"/>
      <c r="O23" s="49"/>
      <c r="P23" s="49"/>
      <c r="Q23" s="51"/>
      <c r="R23" s="51"/>
      <c r="S23" s="51"/>
    </row>
    <row r="24" spans="1:19" ht="15" customHeight="1" x14ac:dyDescent="0.3">
      <c r="A24" s="54">
        <v>4</v>
      </c>
      <c r="B24" s="12" t="s">
        <v>60</v>
      </c>
      <c r="C24" s="42" t="s">
        <v>12</v>
      </c>
      <c r="D24" s="42">
        <v>40912</v>
      </c>
      <c r="E24" s="42">
        <v>77139</v>
      </c>
      <c r="F24" s="42">
        <v>74971</v>
      </c>
      <c r="G24" s="46">
        <f>SUM(D24:F25)</f>
        <v>193022</v>
      </c>
      <c r="H24" s="43">
        <f>SUM(G24:G28)</f>
        <v>193022</v>
      </c>
      <c r="I24" s="53">
        <v>229</v>
      </c>
      <c r="J24" s="53">
        <v>432</v>
      </c>
      <c r="K24" s="53">
        <v>413</v>
      </c>
      <c r="L24" s="53"/>
      <c r="M24" s="34">
        <f t="shared" ref="M24" si="7">(100*D24)/$S$3</f>
        <v>45.457777777777778</v>
      </c>
      <c r="N24" s="34">
        <f t="shared" ref="N24" si="8">(100*E24)/$S$3</f>
        <v>85.71</v>
      </c>
      <c r="O24" s="34">
        <f t="shared" ref="O24" si="9">(100*F24)/$S$3</f>
        <v>83.301111111111112</v>
      </c>
      <c r="P24" s="34">
        <f t="shared" ref="P24" si="10">(H24*100)/$R$3</f>
        <v>71.489629629629633</v>
      </c>
      <c r="Q24" s="50" t="s">
        <v>14</v>
      </c>
      <c r="R24" s="50" t="s">
        <v>16</v>
      </c>
      <c r="S24" s="50" t="s">
        <v>16</v>
      </c>
    </row>
    <row r="25" spans="1:19" ht="15" customHeight="1" x14ac:dyDescent="0.3">
      <c r="A25" s="54"/>
      <c r="B25" s="10" t="s">
        <v>119</v>
      </c>
      <c r="C25" s="43"/>
      <c r="D25" s="43"/>
      <c r="E25" s="43"/>
      <c r="F25" s="43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50"/>
      <c r="R25" s="50"/>
      <c r="S25" s="50"/>
    </row>
    <row r="26" spans="1:19" ht="15" customHeight="1" x14ac:dyDescent="0.3">
      <c r="A26" s="54"/>
      <c r="B26" s="10" t="s">
        <v>121</v>
      </c>
      <c r="C26" s="42"/>
      <c r="D26" s="42"/>
      <c r="E26" s="42"/>
      <c r="F26" s="42"/>
      <c r="G26" s="42">
        <f>SUM(D26:F26)</f>
        <v>0</v>
      </c>
      <c r="H26" s="53"/>
      <c r="I26" s="53"/>
      <c r="J26" s="53"/>
      <c r="K26" s="53"/>
      <c r="L26" s="53"/>
      <c r="M26" s="49"/>
      <c r="N26" s="49"/>
      <c r="O26" s="49"/>
      <c r="P26" s="49"/>
      <c r="Q26" s="51"/>
      <c r="R26" s="51"/>
      <c r="S26" s="51"/>
    </row>
    <row r="27" spans="1:19" ht="15" customHeight="1" x14ac:dyDescent="0.3">
      <c r="A27" s="54"/>
      <c r="B27" s="10" t="s">
        <v>122</v>
      </c>
      <c r="C27" s="43"/>
      <c r="D27" s="43"/>
      <c r="E27" s="43"/>
      <c r="F27" s="43"/>
      <c r="G27" s="43"/>
      <c r="H27" s="53"/>
      <c r="I27" s="53"/>
      <c r="J27" s="53"/>
      <c r="K27" s="53"/>
      <c r="L27" s="53"/>
      <c r="M27" s="49"/>
      <c r="N27" s="49"/>
      <c r="O27" s="49"/>
      <c r="P27" s="49"/>
      <c r="Q27" s="51"/>
      <c r="R27" s="51"/>
      <c r="S27" s="51"/>
    </row>
    <row r="28" spans="1:19" ht="15" customHeight="1" x14ac:dyDescent="0.3">
      <c r="A28" s="54"/>
      <c r="B28" s="10" t="s">
        <v>79</v>
      </c>
      <c r="C28" s="42"/>
      <c r="D28" s="42"/>
      <c r="E28" s="42"/>
      <c r="F28" s="42"/>
      <c r="G28" s="42">
        <f>SUM(D28:F28)</f>
        <v>0</v>
      </c>
      <c r="H28" s="53"/>
      <c r="I28" s="53"/>
      <c r="J28" s="53"/>
      <c r="K28" s="53"/>
      <c r="L28" s="53"/>
      <c r="M28" s="49"/>
      <c r="N28" s="49"/>
      <c r="O28" s="49"/>
      <c r="P28" s="49"/>
      <c r="Q28" s="51"/>
      <c r="R28" s="51"/>
      <c r="S28" s="51"/>
    </row>
    <row r="29" spans="1:19" ht="15" customHeight="1" thickBot="1" x14ac:dyDescent="0.35">
      <c r="A29" s="54"/>
      <c r="B29" s="11" t="s">
        <v>78</v>
      </c>
      <c r="C29" s="43"/>
      <c r="D29" s="43"/>
      <c r="E29" s="43"/>
      <c r="F29" s="43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51"/>
      <c r="R29" s="51"/>
      <c r="S29" s="51"/>
    </row>
    <row r="30" spans="1:19" ht="15" customHeight="1" x14ac:dyDescent="0.3">
      <c r="A30" s="54">
        <v>5</v>
      </c>
      <c r="B30" s="12" t="s">
        <v>60</v>
      </c>
      <c r="C30" s="42" t="s">
        <v>12</v>
      </c>
      <c r="D30" s="42">
        <v>47032</v>
      </c>
      <c r="E30" s="42">
        <v>80028</v>
      </c>
      <c r="F30" s="42">
        <v>76129</v>
      </c>
      <c r="G30" s="46">
        <f>SUM(D30:F31)</f>
        <v>203189</v>
      </c>
      <c r="H30" s="43">
        <f>SUM(G30:G34)</f>
        <v>203189</v>
      </c>
      <c r="I30" s="53">
        <v>255</v>
      </c>
      <c r="J30" s="53">
        <v>434</v>
      </c>
      <c r="K30" s="53">
        <v>413</v>
      </c>
      <c r="L30" s="53"/>
      <c r="M30" s="34">
        <f t="shared" ref="M30" si="11">(100*D30)/$S$3</f>
        <v>52.257777777777775</v>
      </c>
      <c r="N30" s="34">
        <f t="shared" ref="N30" si="12">(100*E30)/$S$3</f>
        <v>88.92</v>
      </c>
      <c r="O30" s="34">
        <f t="shared" ref="O30" si="13">(100*F30)/$S$3</f>
        <v>84.587777777777774</v>
      </c>
      <c r="P30" s="34">
        <f t="shared" ref="P30" si="14">(H30*100)/$R$3</f>
        <v>75.255185185185184</v>
      </c>
      <c r="Q30" s="50" t="s">
        <v>14</v>
      </c>
      <c r="R30" s="50" t="s">
        <v>16</v>
      </c>
      <c r="S30" s="50" t="s">
        <v>16</v>
      </c>
    </row>
    <row r="31" spans="1:19" ht="15" customHeight="1" x14ac:dyDescent="0.3">
      <c r="A31" s="54"/>
      <c r="B31" s="10" t="s">
        <v>119</v>
      </c>
      <c r="C31" s="43"/>
      <c r="D31" s="43"/>
      <c r="E31" s="43"/>
      <c r="F31" s="43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50"/>
      <c r="R31" s="50"/>
      <c r="S31" s="50"/>
    </row>
    <row r="32" spans="1:19" ht="15" customHeight="1" x14ac:dyDescent="0.3">
      <c r="A32" s="54"/>
      <c r="B32" s="10" t="s">
        <v>121</v>
      </c>
      <c r="C32" s="42"/>
      <c r="D32" s="42"/>
      <c r="E32" s="42"/>
      <c r="F32" s="42"/>
      <c r="G32" s="42">
        <f>SUM(D32:F32)</f>
        <v>0</v>
      </c>
      <c r="H32" s="53"/>
      <c r="I32" s="53"/>
      <c r="J32" s="53"/>
      <c r="K32" s="53"/>
      <c r="L32" s="53"/>
      <c r="M32" s="49"/>
      <c r="N32" s="49"/>
      <c r="O32" s="49"/>
      <c r="P32" s="49"/>
      <c r="Q32" s="51"/>
      <c r="R32" s="51"/>
      <c r="S32" s="51"/>
    </row>
    <row r="33" spans="1:19" ht="15" customHeight="1" x14ac:dyDescent="0.3">
      <c r="A33" s="54"/>
      <c r="B33" s="10" t="s">
        <v>122</v>
      </c>
      <c r="C33" s="43"/>
      <c r="D33" s="43"/>
      <c r="E33" s="43"/>
      <c r="F33" s="43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51"/>
      <c r="R33" s="51"/>
      <c r="S33" s="51"/>
    </row>
    <row r="34" spans="1:19" ht="15" customHeight="1" x14ac:dyDescent="0.3">
      <c r="A34" s="54"/>
      <c r="B34" s="10" t="s">
        <v>79</v>
      </c>
      <c r="C34" s="42"/>
      <c r="D34" s="42"/>
      <c r="E34" s="42"/>
      <c r="F34" s="42"/>
      <c r="G34" s="42">
        <f>SUM(D34:F34)</f>
        <v>0</v>
      </c>
      <c r="H34" s="53"/>
      <c r="I34" s="53"/>
      <c r="J34" s="53"/>
      <c r="K34" s="53"/>
      <c r="L34" s="53"/>
      <c r="M34" s="49"/>
      <c r="N34" s="49"/>
      <c r="O34" s="49"/>
      <c r="P34" s="49"/>
      <c r="Q34" s="51"/>
      <c r="R34" s="51"/>
      <c r="S34" s="51"/>
    </row>
    <row r="35" spans="1:19" ht="15" customHeight="1" thickBot="1" x14ac:dyDescent="0.35">
      <c r="A35" s="54"/>
      <c r="B35" s="11" t="s">
        <v>78</v>
      </c>
      <c r="C35" s="43"/>
      <c r="D35" s="43"/>
      <c r="E35" s="43"/>
      <c r="F35" s="43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51"/>
      <c r="R35" s="51"/>
      <c r="S35" s="51"/>
    </row>
    <row r="36" spans="1:19" ht="15" customHeight="1" x14ac:dyDescent="0.3">
      <c r="A36" s="54">
        <v>6</v>
      </c>
      <c r="B36" s="12" t="s">
        <v>60</v>
      </c>
      <c r="C36" s="42" t="s">
        <v>27</v>
      </c>
      <c r="D36" s="42">
        <v>54067</v>
      </c>
      <c r="E36" s="42">
        <v>78584</v>
      </c>
      <c r="F36" s="42">
        <v>34049</v>
      </c>
      <c r="G36" s="46">
        <f>SUM(D36:F37)</f>
        <v>166700</v>
      </c>
      <c r="H36" s="43">
        <f>SUM(G36:G40)</f>
        <v>166700</v>
      </c>
      <c r="I36" s="53">
        <v>255</v>
      </c>
      <c r="J36" s="53">
        <v>415</v>
      </c>
      <c r="K36" s="53">
        <v>180</v>
      </c>
      <c r="L36" s="53"/>
      <c r="M36" s="34">
        <f t="shared" ref="M36" si="15">(100*D36)/$S$3</f>
        <v>60.074444444444445</v>
      </c>
      <c r="N36" s="34">
        <f t="shared" ref="N36" si="16">(100*E36)/$S$3</f>
        <v>87.315555555555562</v>
      </c>
      <c r="O36" s="34">
        <f t="shared" ref="O36" si="17">(100*F36)/$S$3</f>
        <v>37.832222222222221</v>
      </c>
      <c r="P36" s="34">
        <f t="shared" ref="P36" si="18">(H36*100)/$R$3</f>
        <v>61.74074074074074</v>
      </c>
      <c r="Q36" s="50" t="s">
        <v>14</v>
      </c>
      <c r="R36" s="50" t="s">
        <v>16</v>
      </c>
      <c r="S36" s="51" t="s">
        <v>15</v>
      </c>
    </row>
    <row r="37" spans="1:19" ht="15" customHeight="1" x14ac:dyDescent="0.3">
      <c r="A37" s="54"/>
      <c r="B37" s="10" t="s">
        <v>119</v>
      </c>
      <c r="C37" s="43"/>
      <c r="D37" s="43"/>
      <c r="E37" s="43"/>
      <c r="F37" s="43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50"/>
      <c r="R37" s="50"/>
      <c r="S37" s="51"/>
    </row>
    <row r="38" spans="1:19" ht="15" customHeight="1" x14ac:dyDescent="0.3">
      <c r="A38" s="54"/>
      <c r="B38" s="10" t="s">
        <v>121</v>
      </c>
      <c r="C38" s="42"/>
      <c r="D38" s="42"/>
      <c r="E38" s="42"/>
      <c r="F38" s="42"/>
      <c r="G38" s="42">
        <f>SUM(D38:F38)</f>
        <v>0</v>
      </c>
      <c r="H38" s="53"/>
      <c r="I38" s="53"/>
      <c r="J38" s="53"/>
      <c r="K38" s="53"/>
      <c r="L38" s="53"/>
      <c r="M38" s="49"/>
      <c r="N38" s="49"/>
      <c r="O38" s="49"/>
      <c r="P38" s="49"/>
      <c r="Q38" s="51"/>
      <c r="R38" s="51"/>
      <c r="S38" s="51"/>
    </row>
    <row r="39" spans="1:19" ht="15" customHeight="1" x14ac:dyDescent="0.3">
      <c r="A39" s="54"/>
      <c r="B39" s="10" t="s">
        <v>122</v>
      </c>
      <c r="C39" s="43"/>
      <c r="D39" s="43"/>
      <c r="E39" s="43"/>
      <c r="F39" s="43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51"/>
      <c r="R39" s="51"/>
      <c r="S39" s="51"/>
    </row>
    <row r="40" spans="1:19" ht="15" customHeight="1" x14ac:dyDescent="0.3">
      <c r="A40" s="54"/>
      <c r="B40" s="10" t="s">
        <v>79</v>
      </c>
      <c r="C40" s="42"/>
      <c r="D40" s="42"/>
      <c r="E40" s="42"/>
      <c r="F40" s="42"/>
      <c r="G40" s="42">
        <f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51"/>
      <c r="R40" s="51"/>
      <c r="S40" s="51"/>
    </row>
    <row r="41" spans="1:19" ht="15" customHeight="1" thickBot="1" x14ac:dyDescent="0.35">
      <c r="A41" s="54"/>
      <c r="B41" s="11" t="s">
        <v>78</v>
      </c>
      <c r="C41" s="43"/>
      <c r="D41" s="43"/>
      <c r="E41" s="43"/>
      <c r="F41" s="43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51"/>
      <c r="R41" s="51"/>
      <c r="S41" s="51"/>
    </row>
    <row r="42" spans="1:19" ht="15" customHeight="1" x14ac:dyDescent="0.3">
      <c r="A42" s="54">
        <v>7</v>
      </c>
      <c r="B42" s="12" t="s">
        <v>60</v>
      </c>
      <c r="C42" s="42" t="s">
        <v>13</v>
      </c>
      <c r="D42" s="42">
        <v>55272</v>
      </c>
      <c r="E42" s="42">
        <v>80019</v>
      </c>
      <c r="F42" s="42">
        <v>37586</v>
      </c>
      <c r="G42" s="46">
        <f>SUM(D42:F43)</f>
        <v>172877</v>
      </c>
      <c r="H42" s="43">
        <f>SUM(G42:G46)</f>
        <v>172877</v>
      </c>
      <c r="I42" s="53">
        <v>298</v>
      </c>
      <c r="J42" s="53">
        <v>432</v>
      </c>
      <c r="K42" s="53">
        <v>203</v>
      </c>
      <c r="L42" s="53"/>
      <c r="M42" s="34">
        <f t="shared" ref="M42" si="19">(100*D42)/$S$3</f>
        <v>61.413333333333334</v>
      </c>
      <c r="N42" s="34">
        <f t="shared" ref="N42" si="20">(100*E42)/$S$3</f>
        <v>88.91</v>
      </c>
      <c r="O42" s="34">
        <f t="shared" ref="O42" si="21">(100*F42)/$S$3</f>
        <v>41.762222222222221</v>
      </c>
      <c r="P42" s="34">
        <f>(H42*100)/$R$3</f>
        <v>64.028518518518524</v>
      </c>
      <c r="Q42" s="50" t="s">
        <v>14</v>
      </c>
      <c r="R42" s="50" t="s">
        <v>16</v>
      </c>
      <c r="S42" s="51" t="s">
        <v>15</v>
      </c>
    </row>
    <row r="43" spans="1:19" ht="15" customHeight="1" x14ac:dyDescent="0.3">
      <c r="A43" s="54"/>
      <c r="B43" s="10" t="s">
        <v>119</v>
      </c>
      <c r="C43" s="43"/>
      <c r="D43" s="43"/>
      <c r="E43" s="43"/>
      <c r="F43" s="43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50"/>
      <c r="R43" s="50"/>
      <c r="S43" s="51"/>
    </row>
    <row r="44" spans="1:19" ht="15" customHeight="1" x14ac:dyDescent="0.3">
      <c r="A44" s="54"/>
      <c r="B44" s="10" t="s">
        <v>121</v>
      </c>
      <c r="C44" s="42"/>
      <c r="D44" s="42"/>
      <c r="E44" s="42"/>
      <c r="F44" s="42"/>
      <c r="G44" s="42">
        <f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51"/>
      <c r="R44" s="51"/>
      <c r="S44" s="51"/>
    </row>
    <row r="45" spans="1:19" ht="15" customHeight="1" x14ac:dyDescent="0.3">
      <c r="A45" s="54"/>
      <c r="B45" s="10" t="s">
        <v>122</v>
      </c>
      <c r="C45" s="43"/>
      <c r="D45" s="43"/>
      <c r="E45" s="43"/>
      <c r="F45" s="43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51"/>
      <c r="R45" s="51"/>
      <c r="S45" s="51"/>
    </row>
    <row r="46" spans="1:19" ht="15" customHeight="1" x14ac:dyDescent="0.3">
      <c r="A46" s="54"/>
      <c r="B46" s="10" t="s">
        <v>79</v>
      </c>
      <c r="C46" s="42"/>
      <c r="D46" s="42"/>
      <c r="E46" s="42"/>
      <c r="F46" s="42"/>
      <c r="G46" s="42">
        <f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51"/>
      <c r="R46" s="51"/>
      <c r="S46" s="51"/>
    </row>
    <row r="47" spans="1:19" ht="15" customHeight="1" thickBot="1" x14ac:dyDescent="0.35">
      <c r="A47" s="54"/>
      <c r="B47" s="11" t="s">
        <v>78</v>
      </c>
      <c r="C47" s="47"/>
      <c r="D47" s="47"/>
      <c r="E47" s="47"/>
      <c r="F47" s="47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51"/>
      <c r="R47" s="51"/>
      <c r="S47" s="51"/>
    </row>
    <row r="48" spans="1:19" ht="15" thickBot="1" x14ac:dyDescent="0.35">
      <c r="C48" s="35" t="s">
        <v>23</v>
      </c>
      <c r="D48" s="37">
        <f>SUM(D6:D47)</f>
        <v>292663</v>
      </c>
      <c r="E48" s="37">
        <f>SUM(E6:E47)</f>
        <v>548185</v>
      </c>
      <c r="F48" s="37">
        <f>SUM(F6:F47)</f>
        <v>439933</v>
      </c>
      <c r="G48" s="37">
        <f>SUM(G6:G47)</f>
        <v>1280781</v>
      </c>
      <c r="H48" s="37">
        <f>SUM(H6:H47)</f>
        <v>1280781</v>
      </c>
    </row>
    <row r="49" spans="3:16" ht="15" thickBot="1" x14ac:dyDescent="0.35">
      <c r="C49" s="36"/>
      <c r="D49" s="38"/>
      <c r="E49" s="38"/>
      <c r="F49" s="38"/>
      <c r="G49" s="38"/>
      <c r="H49" s="38"/>
      <c r="J49" s="18" t="s">
        <v>61</v>
      </c>
      <c r="K49" s="18" t="s">
        <v>62</v>
      </c>
      <c r="L49" s="27" t="s">
        <v>63</v>
      </c>
      <c r="M49" s="28"/>
      <c r="N49" s="18" t="s">
        <v>62</v>
      </c>
      <c r="O49" s="18" t="s">
        <v>64</v>
      </c>
      <c r="P49" s="18" t="s">
        <v>62</v>
      </c>
    </row>
    <row r="50" spans="3:16" x14ac:dyDescent="0.3">
      <c r="J50" s="19">
        <v>1</v>
      </c>
      <c r="K50" s="26" t="s">
        <v>65</v>
      </c>
      <c r="L50" s="101"/>
      <c r="M50" s="101"/>
      <c r="N50" s="26"/>
      <c r="O50" s="19">
        <v>6</v>
      </c>
      <c r="P50" s="26" t="s">
        <v>65</v>
      </c>
    </row>
    <row r="51" spans="3:16" x14ac:dyDescent="0.3">
      <c r="J51" s="19">
        <v>2</v>
      </c>
      <c r="K51" s="26" t="s">
        <v>65</v>
      </c>
      <c r="L51" s="101"/>
      <c r="M51" s="101"/>
      <c r="N51" s="26"/>
      <c r="O51" s="19">
        <v>7</v>
      </c>
      <c r="P51" s="26" t="s">
        <v>65</v>
      </c>
    </row>
    <row r="52" spans="3:16" x14ac:dyDescent="0.3">
      <c r="J52" s="19">
        <v>3</v>
      </c>
      <c r="K52" s="26" t="s">
        <v>65</v>
      </c>
      <c r="L52" s="101"/>
      <c r="M52" s="101"/>
      <c r="N52" s="19"/>
      <c r="O52" s="19"/>
      <c r="P52" s="19"/>
    </row>
    <row r="53" spans="3:16" x14ac:dyDescent="0.3">
      <c r="J53" s="26">
        <v>4</v>
      </c>
      <c r="K53" s="26" t="s">
        <v>65</v>
      </c>
      <c r="L53" s="99"/>
      <c r="M53" s="100"/>
      <c r="N53" s="26"/>
      <c r="O53" s="26"/>
      <c r="P53" s="26"/>
    </row>
    <row r="54" spans="3:16" x14ac:dyDescent="0.3">
      <c r="J54" s="26">
        <v>5</v>
      </c>
      <c r="K54" s="26" t="s">
        <v>65</v>
      </c>
      <c r="L54" s="99"/>
      <c r="M54" s="100"/>
      <c r="N54" s="26"/>
      <c r="O54" s="26"/>
      <c r="P54" s="26"/>
    </row>
    <row r="55" spans="3:16" x14ac:dyDescent="0.3">
      <c r="J55" s="26">
        <v>6</v>
      </c>
      <c r="K55" s="26" t="s">
        <v>65</v>
      </c>
      <c r="L55" s="99"/>
      <c r="M55" s="100"/>
      <c r="N55" s="26"/>
      <c r="O55" s="26"/>
      <c r="P55" s="26"/>
    </row>
    <row r="56" spans="3:16" x14ac:dyDescent="0.3">
      <c r="J56" s="26">
        <v>7</v>
      </c>
      <c r="K56" s="26" t="s">
        <v>65</v>
      </c>
      <c r="L56" s="99"/>
      <c r="M56" s="100"/>
      <c r="N56" s="26"/>
      <c r="O56" s="26"/>
      <c r="P56" s="26"/>
    </row>
    <row r="57" spans="3:16" x14ac:dyDescent="0.3">
      <c r="J57" s="26"/>
      <c r="K57" s="26"/>
      <c r="L57" s="99"/>
      <c r="M57" s="100"/>
      <c r="N57" s="26"/>
      <c r="O57" s="26"/>
      <c r="P57" s="26"/>
    </row>
  </sheetData>
  <mergeCells count="224">
    <mergeCell ref="L53:M53"/>
    <mergeCell ref="L54:M54"/>
    <mergeCell ref="L55:M55"/>
    <mergeCell ref="L56:M56"/>
    <mergeCell ref="L57:M57"/>
    <mergeCell ref="G42:G43"/>
    <mergeCell ref="F42:F43"/>
    <mergeCell ref="E42:E43"/>
    <mergeCell ref="D42:D43"/>
    <mergeCell ref="L49:M49"/>
    <mergeCell ref="L50:M50"/>
    <mergeCell ref="L51:M51"/>
    <mergeCell ref="L52:M52"/>
    <mergeCell ref="E26:E27"/>
    <mergeCell ref="D26:D27"/>
    <mergeCell ref="C42:C43"/>
    <mergeCell ref="G46:G47"/>
    <mergeCell ref="F46:F47"/>
    <mergeCell ref="E46:E47"/>
    <mergeCell ref="D46:D47"/>
    <mergeCell ref="C46:C47"/>
    <mergeCell ref="C44:C45"/>
    <mergeCell ref="D44:D45"/>
    <mergeCell ref="E44:E45"/>
    <mergeCell ref="F44:F45"/>
    <mergeCell ref="G44:G45"/>
    <mergeCell ref="G30:G31"/>
    <mergeCell ref="F30:F31"/>
    <mergeCell ref="E30:E31"/>
    <mergeCell ref="D30:D31"/>
    <mergeCell ref="C30:C31"/>
    <mergeCell ref="G28:G29"/>
    <mergeCell ref="F28:F29"/>
    <mergeCell ref="E28:E29"/>
    <mergeCell ref="D28:D29"/>
    <mergeCell ref="C28:C29"/>
    <mergeCell ref="G34:G35"/>
    <mergeCell ref="F34:F35"/>
    <mergeCell ref="E34:E35"/>
    <mergeCell ref="D34:D35"/>
    <mergeCell ref="C34:C35"/>
    <mergeCell ref="C32:C33"/>
    <mergeCell ref="D32:D33"/>
    <mergeCell ref="E32:E33"/>
    <mergeCell ref="F32:F33"/>
    <mergeCell ref="G32:G33"/>
    <mergeCell ref="F26:F27"/>
    <mergeCell ref="G26:G27"/>
    <mergeCell ref="C6:C7"/>
    <mergeCell ref="G16:G17"/>
    <mergeCell ref="F16:F17"/>
    <mergeCell ref="E16:E17"/>
    <mergeCell ref="D16:D17"/>
    <mergeCell ref="C16:C17"/>
    <mergeCell ref="C14:C15"/>
    <mergeCell ref="F14:F15"/>
    <mergeCell ref="D14:D15"/>
    <mergeCell ref="E14:E15"/>
    <mergeCell ref="G14:G15"/>
    <mergeCell ref="G12:G13"/>
    <mergeCell ref="F12:F13"/>
    <mergeCell ref="E12:E13"/>
    <mergeCell ref="D12:D13"/>
    <mergeCell ref="C12:C13"/>
    <mergeCell ref="G24:G25"/>
    <mergeCell ref="F24:F25"/>
    <mergeCell ref="E24:E25"/>
    <mergeCell ref="D24:D25"/>
    <mergeCell ref="C24:C25"/>
    <mergeCell ref="C26:C27"/>
    <mergeCell ref="R36:R41"/>
    <mergeCell ref="R42:R47"/>
    <mergeCell ref="R1:S1"/>
    <mergeCell ref="A1:C3"/>
    <mergeCell ref="D1:Q3"/>
    <mergeCell ref="N42:N47"/>
    <mergeCell ref="O42:O47"/>
    <mergeCell ref="P42:P47"/>
    <mergeCell ref="Q42:Q47"/>
    <mergeCell ref="S42:S47"/>
    <mergeCell ref="S36:S41"/>
    <mergeCell ref="A42:A47"/>
    <mergeCell ref="H42:H47"/>
    <mergeCell ref="I42:I47"/>
    <mergeCell ref="J42:J47"/>
    <mergeCell ref="K42:K47"/>
    <mergeCell ref="L42:L47"/>
    <mergeCell ref="M42:M47"/>
    <mergeCell ref="L36:L41"/>
    <mergeCell ref="M36:M41"/>
    <mergeCell ref="N36:N41"/>
    <mergeCell ref="O36:O41"/>
    <mergeCell ref="P36:P41"/>
    <mergeCell ref="Q36:Q41"/>
    <mergeCell ref="A36:A41"/>
    <mergeCell ref="H36:H41"/>
    <mergeCell ref="I36:I41"/>
    <mergeCell ref="J36:J41"/>
    <mergeCell ref="K36:K41"/>
    <mergeCell ref="G40:G41"/>
    <mergeCell ref="F40:F41"/>
    <mergeCell ref="E40:E41"/>
    <mergeCell ref="D40:D41"/>
    <mergeCell ref="C40:C41"/>
    <mergeCell ref="C38:C39"/>
    <mergeCell ref="D38:D39"/>
    <mergeCell ref="E38:E39"/>
    <mergeCell ref="F38:F39"/>
    <mergeCell ref="G38:G39"/>
    <mergeCell ref="G36:G37"/>
    <mergeCell ref="F36:F37"/>
    <mergeCell ref="E36:E37"/>
    <mergeCell ref="D36:D37"/>
    <mergeCell ref="C36:C37"/>
    <mergeCell ref="N30:N35"/>
    <mergeCell ref="O30:O35"/>
    <mergeCell ref="P30:P35"/>
    <mergeCell ref="Q30:Q35"/>
    <mergeCell ref="R30:R35"/>
    <mergeCell ref="S30:S35"/>
    <mergeCell ref="R24:R29"/>
    <mergeCell ref="S24:S29"/>
    <mergeCell ref="A30:A35"/>
    <mergeCell ref="H30:H35"/>
    <mergeCell ref="I30:I35"/>
    <mergeCell ref="J30:J35"/>
    <mergeCell ref="K30:K35"/>
    <mergeCell ref="L30:L35"/>
    <mergeCell ref="M30:M35"/>
    <mergeCell ref="L24:L29"/>
    <mergeCell ref="M24:M29"/>
    <mergeCell ref="N24:N29"/>
    <mergeCell ref="O24:O29"/>
    <mergeCell ref="P24:P29"/>
    <mergeCell ref="Q24:Q29"/>
    <mergeCell ref="A24:A29"/>
    <mergeCell ref="H24:H29"/>
    <mergeCell ref="I24:I29"/>
    <mergeCell ref="J24:J29"/>
    <mergeCell ref="K24:K29"/>
    <mergeCell ref="N18:N23"/>
    <mergeCell ref="O18:O23"/>
    <mergeCell ref="P18:P23"/>
    <mergeCell ref="Q18:Q23"/>
    <mergeCell ref="R18:R23"/>
    <mergeCell ref="S18:S23"/>
    <mergeCell ref="R12:R17"/>
    <mergeCell ref="S12:S17"/>
    <mergeCell ref="N12:N17"/>
    <mergeCell ref="O12:O17"/>
    <mergeCell ref="P12:P17"/>
    <mergeCell ref="Q12:Q17"/>
    <mergeCell ref="A18:A23"/>
    <mergeCell ref="H18:H23"/>
    <mergeCell ref="I18:I23"/>
    <mergeCell ref="J18:J23"/>
    <mergeCell ref="K18:K23"/>
    <mergeCell ref="L18:L23"/>
    <mergeCell ref="M18:M23"/>
    <mergeCell ref="L12:L17"/>
    <mergeCell ref="M12:M17"/>
    <mergeCell ref="G22:G23"/>
    <mergeCell ref="F22:F23"/>
    <mergeCell ref="E22:E23"/>
    <mergeCell ref="D22:D23"/>
    <mergeCell ref="C22:C23"/>
    <mergeCell ref="C20:C21"/>
    <mergeCell ref="D20:D21"/>
    <mergeCell ref="E20:E21"/>
    <mergeCell ref="F20:F21"/>
    <mergeCell ref="G20:G21"/>
    <mergeCell ref="G18:G19"/>
    <mergeCell ref="F18:F19"/>
    <mergeCell ref="E18:E19"/>
    <mergeCell ref="D18:D19"/>
    <mergeCell ref="C18:C19"/>
    <mergeCell ref="N6:N11"/>
    <mergeCell ref="O6:O11"/>
    <mergeCell ref="P6:P11"/>
    <mergeCell ref="A12:A17"/>
    <mergeCell ref="H12:H17"/>
    <mergeCell ref="I12:I17"/>
    <mergeCell ref="J12:J17"/>
    <mergeCell ref="K12:K17"/>
    <mergeCell ref="A6:A11"/>
    <mergeCell ref="H6:H11"/>
    <mergeCell ref="G10:G11"/>
    <mergeCell ref="F10:F11"/>
    <mergeCell ref="E8:E9"/>
    <mergeCell ref="E10:E11"/>
    <mergeCell ref="D10:D11"/>
    <mergeCell ref="C10:C11"/>
    <mergeCell ref="C8:C9"/>
    <mergeCell ref="D8:D9"/>
    <mergeCell ref="F8:F9"/>
    <mergeCell ref="G8:G9"/>
    <mergeCell ref="G6:G7"/>
    <mergeCell ref="F6:F7"/>
    <mergeCell ref="E6:E7"/>
    <mergeCell ref="D6:D7"/>
    <mergeCell ref="A4:A5"/>
    <mergeCell ref="G4:G5"/>
    <mergeCell ref="H4:H5"/>
    <mergeCell ref="L4:L5"/>
    <mergeCell ref="D4:F4"/>
    <mergeCell ref="I4:K4"/>
    <mergeCell ref="M4:P4"/>
    <mergeCell ref="Q4:S4"/>
    <mergeCell ref="C48:C49"/>
    <mergeCell ref="D48:D49"/>
    <mergeCell ref="E48:E49"/>
    <mergeCell ref="F48:F49"/>
    <mergeCell ref="G48:G49"/>
    <mergeCell ref="H48:H49"/>
    <mergeCell ref="Q6:Q11"/>
    <mergeCell ref="R6:R11"/>
    <mergeCell ref="S6:S11"/>
    <mergeCell ref="I6:I11"/>
    <mergeCell ref="J6:J11"/>
    <mergeCell ref="K6:K11"/>
    <mergeCell ref="L6:L11"/>
    <mergeCell ref="C4:C5"/>
    <mergeCell ref="B4:B5"/>
    <mergeCell ref="M6:M11"/>
  </mergeCells>
  <pageMargins left="0.19685039370078741" right="0.19685039370078741" top="0.19685039370078741" bottom="0.19685039370078741" header="0.31496062992125984" footer="0.31496062992125984"/>
  <pageSetup paperSize="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6850-0181-485E-8D4B-F7E3A66DA37D}">
  <sheetPr>
    <pageSetUpPr fitToPage="1"/>
  </sheetPr>
  <dimension ref="A1:S53"/>
  <sheetViews>
    <sheetView zoomScaleNormal="100" workbookViewId="0">
      <selection activeCell="B6" sqref="B6:B47"/>
    </sheetView>
  </sheetViews>
  <sheetFormatPr defaultRowHeight="14.4" x14ac:dyDescent="0.3"/>
  <cols>
    <col min="1" max="1" width="7.88671875" customWidth="1"/>
    <col min="2" max="2" width="13.1093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9" width="20.77734375" customWidth="1"/>
  </cols>
  <sheetData>
    <row r="1" spans="1:19" ht="15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9" t="s">
        <v>24</v>
      </c>
      <c r="S1" s="90"/>
    </row>
    <row r="2" spans="1:19" ht="15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7" t="s">
        <v>19</v>
      </c>
      <c r="S2" s="7" t="s">
        <v>20</v>
      </c>
    </row>
    <row r="3" spans="1:19" ht="15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8">
        <v>270000</v>
      </c>
      <c r="S3" s="6">
        <v>90000</v>
      </c>
    </row>
    <row r="4" spans="1:19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6" t="s">
        <v>11</v>
      </c>
      <c r="R4" s="67"/>
      <c r="S4" s="68"/>
    </row>
    <row r="5" spans="1:19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5" t="s">
        <v>10</v>
      </c>
      <c r="Q5" s="1" t="s">
        <v>4</v>
      </c>
      <c r="R5" s="2" t="s">
        <v>5</v>
      </c>
      <c r="S5" s="3" t="s">
        <v>6</v>
      </c>
    </row>
    <row r="6" spans="1:19" ht="15" customHeight="1" x14ac:dyDescent="0.3">
      <c r="A6" s="59">
        <v>1</v>
      </c>
      <c r="B6" s="10" t="s">
        <v>121</v>
      </c>
      <c r="C6" s="46" t="s">
        <v>12</v>
      </c>
      <c r="D6" s="46">
        <v>80013</v>
      </c>
      <c r="E6" s="46">
        <v>38719</v>
      </c>
      <c r="F6" s="46">
        <v>80015</v>
      </c>
      <c r="G6" s="46">
        <f>SUM(D6:F6)</f>
        <v>198747</v>
      </c>
      <c r="H6" s="43">
        <f>SUM(G6:G10)</f>
        <v>198747</v>
      </c>
      <c r="I6" s="43">
        <v>465</v>
      </c>
      <c r="J6" s="43">
        <v>224</v>
      </c>
      <c r="K6" s="43">
        <v>465</v>
      </c>
      <c r="L6" s="43"/>
      <c r="M6" s="34">
        <f>(100*D6)/$S$3</f>
        <v>88.903333333333336</v>
      </c>
      <c r="N6" s="34">
        <f t="shared" ref="N6:O6" si="0">(100*E6)/$S$3</f>
        <v>43.021111111111111</v>
      </c>
      <c r="O6" s="34">
        <f t="shared" si="0"/>
        <v>88.905555555555551</v>
      </c>
      <c r="P6" s="34">
        <f>(H6*100)/$R$3</f>
        <v>73.61</v>
      </c>
      <c r="Q6" s="50" t="s">
        <v>30</v>
      </c>
      <c r="R6" s="50" t="s">
        <v>31</v>
      </c>
      <c r="S6" s="50" t="s">
        <v>30</v>
      </c>
    </row>
    <row r="7" spans="1:19" ht="15" customHeight="1" thickBot="1" x14ac:dyDescent="0.35">
      <c r="A7" s="59"/>
      <c r="B7" s="10" t="s">
        <v>122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34"/>
      <c r="N7" s="34"/>
      <c r="O7" s="34"/>
      <c r="P7" s="34"/>
      <c r="Q7" s="50"/>
      <c r="R7" s="50"/>
      <c r="S7" s="50"/>
    </row>
    <row r="8" spans="1:19" ht="15" customHeight="1" x14ac:dyDescent="0.3">
      <c r="A8" s="54"/>
      <c r="B8" s="11" t="s">
        <v>77</v>
      </c>
      <c r="C8" s="42"/>
      <c r="D8" s="42"/>
      <c r="E8" s="42"/>
      <c r="F8" s="42"/>
      <c r="G8" s="46">
        <f t="shared" ref="G8" si="1">SUM(D8:F8)</f>
        <v>0</v>
      </c>
      <c r="H8" s="53"/>
      <c r="I8" s="53"/>
      <c r="J8" s="53"/>
      <c r="K8" s="53"/>
      <c r="L8" s="53"/>
      <c r="M8" s="49"/>
      <c r="N8" s="49"/>
      <c r="O8" s="49"/>
      <c r="P8" s="49"/>
      <c r="Q8" s="51"/>
      <c r="R8" s="51"/>
      <c r="S8" s="51"/>
    </row>
    <row r="9" spans="1:19" ht="15" customHeight="1" thickBot="1" x14ac:dyDescent="0.35">
      <c r="A9" s="54"/>
      <c r="B9" s="11" t="s">
        <v>78</v>
      </c>
      <c r="C9" s="43"/>
      <c r="D9" s="43"/>
      <c r="E9" s="43"/>
      <c r="F9" s="43"/>
      <c r="G9" s="43"/>
      <c r="H9" s="53"/>
      <c r="I9" s="53"/>
      <c r="J9" s="53"/>
      <c r="K9" s="53"/>
      <c r="L9" s="53"/>
      <c r="M9" s="49"/>
      <c r="N9" s="49"/>
      <c r="O9" s="49"/>
      <c r="P9" s="49"/>
      <c r="Q9" s="51"/>
      <c r="R9" s="51"/>
      <c r="S9" s="51"/>
    </row>
    <row r="10" spans="1:19" ht="15" customHeight="1" x14ac:dyDescent="0.3">
      <c r="A10" s="54"/>
      <c r="B10" s="11" t="s">
        <v>76</v>
      </c>
      <c r="C10" s="42"/>
      <c r="D10" s="42"/>
      <c r="E10" s="42"/>
      <c r="F10" s="42"/>
      <c r="G10" s="46">
        <f t="shared" ref="G10" si="2">SUM(D10:F10)</f>
        <v>0</v>
      </c>
      <c r="H10" s="53"/>
      <c r="I10" s="53"/>
      <c r="J10" s="53"/>
      <c r="K10" s="53"/>
      <c r="L10" s="53"/>
      <c r="M10" s="49"/>
      <c r="N10" s="49"/>
      <c r="O10" s="49"/>
      <c r="P10" s="49"/>
      <c r="Q10" s="51"/>
      <c r="R10" s="51"/>
      <c r="S10" s="51"/>
    </row>
    <row r="11" spans="1:19" ht="15" customHeight="1" thickBot="1" x14ac:dyDescent="0.35">
      <c r="A11" s="54"/>
      <c r="B11" s="11" t="s">
        <v>120</v>
      </c>
      <c r="C11" s="43"/>
      <c r="D11" s="43"/>
      <c r="E11" s="43"/>
      <c r="F11" s="43"/>
      <c r="G11" s="43"/>
      <c r="H11" s="53"/>
      <c r="I11" s="53"/>
      <c r="J11" s="53"/>
      <c r="K11" s="53"/>
      <c r="L11" s="53"/>
      <c r="M11" s="49"/>
      <c r="N11" s="49"/>
      <c r="O11" s="49"/>
      <c r="P11" s="49"/>
      <c r="Q11" s="51"/>
      <c r="R11" s="51"/>
      <c r="S11" s="51"/>
    </row>
    <row r="12" spans="1:19" ht="15" customHeight="1" x14ac:dyDescent="0.3">
      <c r="A12" s="54">
        <v>2</v>
      </c>
      <c r="B12" s="10" t="s">
        <v>121</v>
      </c>
      <c r="C12" s="42" t="s">
        <v>12</v>
      </c>
      <c r="D12" s="42">
        <v>77188</v>
      </c>
      <c r="E12" s="42">
        <v>78128</v>
      </c>
      <c r="F12" s="42">
        <v>78461</v>
      </c>
      <c r="G12" s="46">
        <f t="shared" ref="G12" si="3">SUM(D12:F12)</f>
        <v>233777</v>
      </c>
      <c r="H12" s="43">
        <f>SUM(G12:G16)</f>
        <v>233777</v>
      </c>
      <c r="I12" s="53">
        <v>460</v>
      </c>
      <c r="J12" s="53">
        <v>466</v>
      </c>
      <c r="K12" s="53">
        <v>465</v>
      </c>
      <c r="L12" s="53"/>
      <c r="M12" s="34">
        <f>(100*D12)/$S$3</f>
        <v>85.76444444444445</v>
      </c>
      <c r="N12" s="34">
        <f t="shared" ref="N12:O12" si="4">(100*E12)/$S$3</f>
        <v>86.808888888888887</v>
      </c>
      <c r="O12" s="34">
        <f t="shared" si="4"/>
        <v>87.178888888888892</v>
      </c>
      <c r="P12" s="34">
        <f>(H12*100)/$R$3</f>
        <v>86.584074074074067</v>
      </c>
      <c r="Q12" s="50" t="s">
        <v>30</v>
      </c>
      <c r="R12" s="50" t="s">
        <v>30</v>
      </c>
      <c r="S12" s="50" t="s">
        <v>30</v>
      </c>
    </row>
    <row r="13" spans="1:19" ht="15" customHeight="1" thickBot="1" x14ac:dyDescent="0.35">
      <c r="A13" s="54"/>
      <c r="B13" s="10" t="s">
        <v>122</v>
      </c>
      <c r="C13" s="43"/>
      <c r="D13" s="43"/>
      <c r="E13" s="43"/>
      <c r="F13" s="43"/>
      <c r="G13" s="43"/>
      <c r="H13" s="43"/>
      <c r="I13" s="53"/>
      <c r="J13" s="53"/>
      <c r="K13" s="53"/>
      <c r="L13" s="53"/>
      <c r="M13" s="34"/>
      <c r="N13" s="34"/>
      <c r="O13" s="34"/>
      <c r="P13" s="34"/>
      <c r="Q13" s="50"/>
      <c r="R13" s="50"/>
      <c r="S13" s="50"/>
    </row>
    <row r="14" spans="1:19" ht="15" customHeight="1" x14ac:dyDescent="0.3">
      <c r="A14" s="54"/>
      <c r="B14" s="11" t="s">
        <v>77</v>
      </c>
      <c r="C14" s="42"/>
      <c r="D14" s="42"/>
      <c r="E14" s="42"/>
      <c r="F14" s="42"/>
      <c r="G14" s="46">
        <f t="shared" ref="G14" si="5">SUM(D14:F14)</f>
        <v>0</v>
      </c>
      <c r="H14" s="53"/>
      <c r="I14" s="53"/>
      <c r="J14" s="53"/>
      <c r="K14" s="53"/>
      <c r="L14" s="53"/>
      <c r="M14" s="49"/>
      <c r="N14" s="49"/>
      <c r="O14" s="49"/>
      <c r="P14" s="49"/>
      <c r="Q14" s="51"/>
      <c r="R14" s="51"/>
      <c r="S14" s="51"/>
    </row>
    <row r="15" spans="1:19" ht="15" customHeight="1" thickBot="1" x14ac:dyDescent="0.35">
      <c r="A15" s="54"/>
      <c r="B15" s="11" t="s">
        <v>78</v>
      </c>
      <c r="C15" s="43"/>
      <c r="D15" s="43"/>
      <c r="E15" s="43"/>
      <c r="F15" s="43"/>
      <c r="G15" s="43"/>
      <c r="H15" s="53"/>
      <c r="I15" s="53"/>
      <c r="J15" s="53"/>
      <c r="K15" s="53"/>
      <c r="L15" s="53"/>
      <c r="M15" s="49"/>
      <c r="N15" s="49"/>
      <c r="O15" s="49"/>
      <c r="P15" s="49"/>
      <c r="Q15" s="51"/>
      <c r="R15" s="51"/>
      <c r="S15" s="51"/>
    </row>
    <row r="16" spans="1:19" ht="15" customHeight="1" x14ac:dyDescent="0.3">
      <c r="A16" s="54"/>
      <c r="B16" s="11" t="s">
        <v>76</v>
      </c>
      <c r="C16" s="42"/>
      <c r="D16" s="42"/>
      <c r="E16" s="42"/>
      <c r="F16" s="42"/>
      <c r="G16" s="46">
        <f t="shared" ref="G16" si="6">SUM(D16:F16)</f>
        <v>0</v>
      </c>
      <c r="H16" s="53"/>
      <c r="I16" s="53"/>
      <c r="J16" s="53"/>
      <c r="K16" s="53"/>
      <c r="L16" s="53"/>
      <c r="M16" s="49"/>
      <c r="N16" s="49"/>
      <c r="O16" s="49"/>
      <c r="P16" s="49"/>
      <c r="Q16" s="51"/>
      <c r="R16" s="51"/>
      <c r="S16" s="51"/>
    </row>
    <row r="17" spans="1:19" ht="15" customHeight="1" thickBot="1" x14ac:dyDescent="0.35">
      <c r="A17" s="54"/>
      <c r="B17" s="11" t="s">
        <v>120</v>
      </c>
      <c r="C17" s="43"/>
      <c r="D17" s="43"/>
      <c r="E17" s="43"/>
      <c r="F17" s="43"/>
      <c r="G17" s="43"/>
      <c r="H17" s="53"/>
      <c r="I17" s="53"/>
      <c r="J17" s="53"/>
      <c r="K17" s="53"/>
      <c r="L17" s="53"/>
      <c r="M17" s="49"/>
      <c r="N17" s="49"/>
      <c r="O17" s="49"/>
      <c r="P17" s="49"/>
      <c r="Q17" s="51"/>
      <c r="R17" s="51"/>
      <c r="S17" s="51"/>
    </row>
    <row r="18" spans="1:19" ht="15" customHeight="1" x14ac:dyDescent="0.3">
      <c r="A18" s="54">
        <v>3</v>
      </c>
      <c r="B18" s="10" t="s">
        <v>121</v>
      </c>
      <c r="C18" s="42" t="s">
        <v>12</v>
      </c>
      <c r="D18" s="42">
        <v>82113</v>
      </c>
      <c r="E18" s="42">
        <v>82269</v>
      </c>
      <c r="F18" s="42">
        <v>81151</v>
      </c>
      <c r="G18" s="46">
        <f t="shared" ref="G18" si="7">SUM(D18:F18)</f>
        <v>245533</v>
      </c>
      <c r="H18" s="43">
        <f>SUM(G18:G22)</f>
        <v>245533</v>
      </c>
      <c r="I18" s="53"/>
      <c r="J18" s="53"/>
      <c r="K18" s="53"/>
      <c r="L18" s="53"/>
      <c r="M18" s="34">
        <f t="shared" ref="M18:O18" si="8">(100*D18)/$S$3</f>
        <v>91.236666666666665</v>
      </c>
      <c r="N18" s="34">
        <f t="shared" si="8"/>
        <v>91.41</v>
      </c>
      <c r="O18" s="34">
        <f t="shared" si="8"/>
        <v>90.167777777777772</v>
      </c>
      <c r="P18" s="34">
        <f t="shared" ref="P18" si="9">(H18*100)/$R$3</f>
        <v>90.938148148148144</v>
      </c>
      <c r="Q18" s="50" t="s">
        <v>30</v>
      </c>
      <c r="R18" s="50" t="s">
        <v>30</v>
      </c>
      <c r="S18" s="50" t="s">
        <v>30</v>
      </c>
    </row>
    <row r="19" spans="1:19" ht="15" customHeight="1" thickBot="1" x14ac:dyDescent="0.35">
      <c r="A19" s="54"/>
      <c r="B19" s="10" t="s">
        <v>122</v>
      </c>
      <c r="C19" s="43"/>
      <c r="D19" s="43"/>
      <c r="E19" s="43"/>
      <c r="F19" s="43"/>
      <c r="G19" s="43"/>
      <c r="H19" s="43"/>
      <c r="I19" s="53"/>
      <c r="J19" s="53"/>
      <c r="K19" s="53"/>
      <c r="L19" s="53"/>
      <c r="M19" s="34"/>
      <c r="N19" s="34"/>
      <c r="O19" s="34"/>
      <c r="P19" s="34"/>
      <c r="Q19" s="50"/>
      <c r="R19" s="50"/>
      <c r="S19" s="50"/>
    </row>
    <row r="20" spans="1:19" ht="15" customHeight="1" x14ac:dyDescent="0.3">
      <c r="A20" s="54"/>
      <c r="B20" s="11" t="s">
        <v>77</v>
      </c>
      <c r="C20" s="42"/>
      <c r="D20" s="42"/>
      <c r="E20" s="42"/>
      <c r="F20" s="42"/>
      <c r="G20" s="46">
        <f t="shared" ref="G20" si="10">SUM(D20:F20)</f>
        <v>0</v>
      </c>
      <c r="H20" s="53"/>
      <c r="I20" s="53"/>
      <c r="J20" s="53"/>
      <c r="K20" s="53"/>
      <c r="L20" s="53"/>
      <c r="M20" s="49"/>
      <c r="N20" s="49"/>
      <c r="O20" s="49"/>
      <c r="P20" s="49"/>
      <c r="Q20" s="51"/>
      <c r="R20" s="51"/>
      <c r="S20" s="51"/>
    </row>
    <row r="21" spans="1:19" ht="15" customHeight="1" thickBot="1" x14ac:dyDescent="0.35">
      <c r="A21" s="54"/>
      <c r="B21" s="11" t="s">
        <v>78</v>
      </c>
      <c r="C21" s="43"/>
      <c r="D21" s="43"/>
      <c r="E21" s="43"/>
      <c r="F21" s="43"/>
      <c r="G21" s="43"/>
      <c r="H21" s="53"/>
      <c r="I21" s="53"/>
      <c r="J21" s="53"/>
      <c r="K21" s="53"/>
      <c r="L21" s="53"/>
      <c r="M21" s="49"/>
      <c r="N21" s="49"/>
      <c r="O21" s="49"/>
      <c r="P21" s="49"/>
      <c r="Q21" s="51"/>
      <c r="R21" s="51"/>
      <c r="S21" s="51"/>
    </row>
    <row r="22" spans="1:19" ht="15" customHeight="1" x14ac:dyDescent="0.3">
      <c r="A22" s="54"/>
      <c r="B22" s="11" t="s">
        <v>76</v>
      </c>
      <c r="C22" s="42"/>
      <c r="D22" s="42"/>
      <c r="E22" s="42"/>
      <c r="F22" s="42"/>
      <c r="G22" s="46">
        <f t="shared" ref="G22" si="11">SUM(D22:F22)</f>
        <v>0</v>
      </c>
      <c r="H22" s="53"/>
      <c r="I22" s="53"/>
      <c r="J22" s="53"/>
      <c r="K22" s="53"/>
      <c r="L22" s="53"/>
      <c r="M22" s="49"/>
      <c r="N22" s="49"/>
      <c r="O22" s="49"/>
      <c r="P22" s="49"/>
      <c r="Q22" s="51"/>
      <c r="R22" s="51"/>
      <c r="S22" s="51"/>
    </row>
    <row r="23" spans="1:19" ht="15" customHeight="1" thickBot="1" x14ac:dyDescent="0.35">
      <c r="A23" s="54"/>
      <c r="B23" s="11" t="s">
        <v>120</v>
      </c>
      <c r="C23" s="43"/>
      <c r="D23" s="43"/>
      <c r="E23" s="43"/>
      <c r="F23" s="43"/>
      <c r="G23" s="43"/>
      <c r="H23" s="53"/>
      <c r="I23" s="53"/>
      <c r="J23" s="53"/>
      <c r="K23" s="53"/>
      <c r="L23" s="53"/>
      <c r="M23" s="49"/>
      <c r="N23" s="49"/>
      <c r="O23" s="49"/>
      <c r="P23" s="49"/>
      <c r="Q23" s="51"/>
      <c r="R23" s="51"/>
      <c r="S23" s="51"/>
    </row>
    <row r="24" spans="1:19" ht="15" customHeight="1" x14ac:dyDescent="0.3">
      <c r="A24" s="54">
        <v>4</v>
      </c>
      <c r="B24" s="10" t="s">
        <v>121</v>
      </c>
      <c r="C24" s="42" t="s">
        <v>12</v>
      </c>
      <c r="D24" s="42"/>
      <c r="E24" s="42"/>
      <c r="F24" s="42"/>
      <c r="G24" s="46">
        <f t="shared" ref="G24" si="12">SUM(D24:F24)</f>
        <v>0</v>
      </c>
      <c r="H24" s="43">
        <f>SUM(G24:G28)</f>
        <v>225532</v>
      </c>
      <c r="I24" s="53">
        <v>344</v>
      </c>
      <c r="J24" s="53">
        <v>467</v>
      </c>
      <c r="K24" s="53">
        <v>451</v>
      </c>
      <c r="L24" s="53"/>
      <c r="M24" s="34">
        <f t="shared" ref="M24:O24" si="13">(100*D24)/$S$3</f>
        <v>0</v>
      </c>
      <c r="N24" s="34">
        <f t="shared" si="13"/>
        <v>0</v>
      </c>
      <c r="O24" s="34">
        <f t="shared" si="13"/>
        <v>0</v>
      </c>
      <c r="P24" s="34">
        <f t="shared" ref="P24" si="14">(H24*100)/$R$3</f>
        <v>83.530370370370363</v>
      </c>
      <c r="Q24" s="50" t="s">
        <v>26</v>
      </c>
      <c r="R24" s="50" t="s">
        <v>30</v>
      </c>
      <c r="S24" s="50" t="s">
        <v>30</v>
      </c>
    </row>
    <row r="25" spans="1:19" ht="15" customHeight="1" thickBot="1" x14ac:dyDescent="0.35">
      <c r="A25" s="54"/>
      <c r="B25" s="10" t="s">
        <v>122</v>
      </c>
      <c r="C25" s="43"/>
      <c r="D25" s="43"/>
      <c r="E25" s="43"/>
      <c r="F25" s="43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50"/>
      <c r="R25" s="50"/>
      <c r="S25" s="50"/>
    </row>
    <row r="26" spans="1:19" ht="15" customHeight="1" x14ac:dyDescent="0.3">
      <c r="A26" s="54"/>
      <c r="B26" s="11" t="s">
        <v>77</v>
      </c>
      <c r="C26" s="42" t="s">
        <v>25</v>
      </c>
      <c r="D26" s="42">
        <v>61569</v>
      </c>
      <c r="E26" s="42">
        <v>83402</v>
      </c>
      <c r="F26" s="42">
        <v>80561</v>
      </c>
      <c r="G26" s="46">
        <f t="shared" ref="G26" si="15">SUM(D26:F26)</f>
        <v>225532</v>
      </c>
      <c r="H26" s="53"/>
      <c r="I26" s="53"/>
      <c r="J26" s="53"/>
      <c r="K26" s="53"/>
      <c r="L26" s="53"/>
      <c r="M26" s="49"/>
      <c r="N26" s="49"/>
      <c r="O26" s="49"/>
      <c r="P26" s="49"/>
      <c r="Q26" s="51"/>
      <c r="R26" s="51"/>
      <c r="S26" s="51"/>
    </row>
    <row r="27" spans="1:19" ht="15" customHeight="1" thickBot="1" x14ac:dyDescent="0.35">
      <c r="A27" s="54"/>
      <c r="B27" s="11" t="s">
        <v>78</v>
      </c>
      <c r="C27" s="43"/>
      <c r="D27" s="43"/>
      <c r="E27" s="43"/>
      <c r="F27" s="43"/>
      <c r="G27" s="43"/>
      <c r="H27" s="53"/>
      <c r="I27" s="53"/>
      <c r="J27" s="53"/>
      <c r="K27" s="53"/>
      <c r="L27" s="53"/>
      <c r="M27" s="49"/>
      <c r="N27" s="49"/>
      <c r="O27" s="49"/>
      <c r="P27" s="49"/>
      <c r="Q27" s="51"/>
      <c r="R27" s="51"/>
      <c r="S27" s="51"/>
    </row>
    <row r="28" spans="1:19" ht="15" customHeight="1" x14ac:dyDescent="0.3">
      <c r="A28" s="54"/>
      <c r="B28" s="11" t="s">
        <v>76</v>
      </c>
      <c r="C28" s="42"/>
      <c r="D28" s="42"/>
      <c r="E28" s="42"/>
      <c r="F28" s="42"/>
      <c r="G28" s="46">
        <f t="shared" ref="G28" si="16">SUM(D28:F28)</f>
        <v>0</v>
      </c>
      <c r="H28" s="53"/>
      <c r="I28" s="53"/>
      <c r="J28" s="53"/>
      <c r="K28" s="53"/>
      <c r="L28" s="53"/>
      <c r="M28" s="49"/>
      <c r="N28" s="49"/>
      <c r="O28" s="49"/>
      <c r="P28" s="49"/>
      <c r="Q28" s="51"/>
      <c r="R28" s="51"/>
      <c r="S28" s="51"/>
    </row>
    <row r="29" spans="1:19" ht="15" customHeight="1" thickBot="1" x14ac:dyDescent="0.35">
      <c r="A29" s="54"/>
      <c r="B29" s="11" t="s">
        <v>120</v>
      </c>
      <c r="C29" s="43"/>
      <c r="D29" s="43"/>
      <c r="E29" s="43"/>
      <c r="F29" s="43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51"/>
      <c r="R29" s="51"/>
      <c r="S29" s="51"/>
    </row>
    <row r="30" spans="1:19" ht="15" customHeight="1" x14ac:dyDescent="0.3">
      <c r="A30" s="54">
        <v>5</v>
      </c>
      <c r="B30" s="10" t="s">
        <v>121</v>
      </c>
      <c r="C30" s="42" t="s">
        <v>12</v>
      </c>
      <c r="D30" s="42"/>
      <c r="E30" s="42"/>
      <c r="F30" s="42"/>
      <c r="G30" s="46">
        <f t="shared" ref="G30" si="17">SUM(D30:F30)</f>
        <v>0</v>
      </c>
      <c r="H30" s="43">
        <f>SUM(G30:G34)</f>
        <v>229908</v>
      </c>
      <c r="I30" s="53">
        <v>341</v>
      </c>
      <c r="J30" s="53">
        <v>456</v>
      </c>
      <c r="K30" s="53">
        <v>450</v>
      </c>
      <c r="L30" s="53"/>
      <c r="M30" s="34">
        <f t="shared" ref="M30:O30" si="18">(100*D30)/$S$3</f>
        <v>0</v>
      </c>
      <c r="N30" s="34">
        <f t="shared" si="18"/>
        <v>0</v>
      </c>
      <c r="O30" s="34">
        <f t="shared" si="18"/>
        <v>0</v>
      </c>
      <c r="P30" s="34">
        <f t="shared" ref="P30" si="19">(H30*100)/$R$3</f>
        <v>85.151111111111106</v>
      </c>
      <c r="Q30" s="50" t="s">
        <v>26</v>
      </c>
      <c r="R30" s="50" t="s">
        <v>30</v>
      </c>
      <c r="S30" s="50" t="s">
        <v>30</v>
      </c>
    </row>
    <row r="31" spans="1:19" ht="15" customHeight="1" thickBot="1" x14ac:dyDescent="0.35">
      <c r="A31" s="54"/>
      <c r="B31" s="10" t="s">
        <v>122</v>
      </c>
      <c r="C31" s="43"/>
      <c r="D31" s="43"/>
      <c r="E31" s="43"/>
      <c r="F31" s="43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50"/>
      <c r="R31" s="50"/>
      <c r="S31" s="50"/>
    </row>
    <row r="32" spans="1:19" ht="15" customHeight="1" x14ac:dyDescent="0.3">
      <c r="A32" s="54"/>
      <c r="B32" s="11" t="s">
        <v>77</v>
      </c>
      <c r="C32" s="42" t="s">
        <v>25</v>
      </c>
      <c r="D32" s="42">
        <v>62889</v>
      </c>
      <c r="E32" s="42">
        <v>84037</v>
      </c>
      <c r="F32" s="42">
        <v>82982</v>
      </c>
      <c r="G32" s="46">
        <f t="shared" ref="G32" si="20">SUM(D32:F32)</f>
        <v>229908</v>
      </c>
      <c r="H32" s="53"/>
      <c r="I32" s="53"/>
      <c r="J32" s="53"/>
      <c r="K32" s="53"/>
      <c r="L32" s="53"/>
      <c r="M32" s="49"/>
      <c r="N32" s="49"/>
      <c r="O32" s="49"/>
      <c r="P32" s="49"/>
      <c r="Q32" s="51"/>
      <c r="R32" s="51"/>
      <c r="S32" s="51"/>
    </row>
    <row r="33" spans="1:19" ht="15" customHeight="1" thickBot="1" x14ac:dyDescent="0.35">
      <c r="A33" s="54"/>
      <c r="B33" s="11" t="s">
        <v>78</v>
      </c>
      <c r="C33" s="43"/>
      <c r="D33" s="43"/>
      <c r="E33" s="43"/>
      <c r="F33" s="43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51"/>
      <c r="R33" s="51"/>
      <c r="S33" s="51"/>
    </row>
    <row r="34" spans="1:19" ht="15" customHeight="1" x14ac:dyDescent="0.3">
      <c r="A34" s="54"/>
      <c r="B34" s="11" t="s">
        <v>76</v>
      </c>
      <c r="C34" s="42"/>
      <c r="D34" s="42"/>
      <c r="E34" s="42"/>
      <c r="F34" s="42"/>
      <c r="G34" s="46">
        <f t="shared" ref="G34" si="21">SUM(D34:F34)</f>
        <v>0</v>
      </c>
      <c r="H34" s="53"/>
      <c r="I34" s="53"/>
      <c r="J34" s="53"/>
      <c r="K34" s="53"/>
      <c r="L34" s="53"/>
      <c r="M34" s="49"/>
      <c r="N34" s="49"/>
      <c r="O34" s="49"/>
      <c r="P34" s="49"/>
      <c r="Q34" s="51"/>
      <c r="R34" s="51"/>
      <c r="S34" s="51"/>
    </row>
    <row r="35" spans="1:19" ht="15" customHeight="1" thickBot="1" x14ac:dyDescent="0.35">
      <c r="A35" s="54"/>
      <c r="B35" s="11" t="s">
        <v>120</v>
      </c>
      <c r="C35" s="43"/>
      <c r="D35" s="43"/>
      <c r="E35" s="43"/>
      <c r="F35" s="43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51"/>
      <c r="R35" s="51"/>
      <c r="S35" s="51"/>
    </row>
    <row r="36" spans="1:19" ht="15" customHeight="1" x14ac:dyDescent="0.3">
      <c r="A36" s="54">
        <v>6</v>
      </c>
      <c r="B36" s="10" t="s">
        <v>121</v>
      </c>
      <c r="C36" s="42" t="s">
        <v>27</v>
      </c>
      <c r="D36" s="42">
        <v>65950</v>
      </c>
      <c r="E36" s="42">
        <v>33316</v>
      </c>
      <c r="F36" s="42">
        <v>81108</v>
      </c>
      <c r="G36" s="46">
        <f t="shared" ref="G36" si="22">SUM(D36:F36)</f>
        <v>180374</v>
      </c>
      <c r="H36" s="43">
        <f>SUM(G36:G40)</f>
        <v>180374</v>
      </c>
      <c r="I36" s="53">
        <v>348</v>
      </c>
      <c r="J36" s="53">
        <v>176</v>
      </c>
      <c r="K36" s="53">
        <v>428</v>
      </c>
      <c r="L36" s="53"/>
      <c r="M36" s="34">
        <f t="shared" ref="M36:O36" si="23">(100*D36)/$S$3</f>
        <v>73.277777777777771</v>
      </c>
      <c r="N36" s="34">
        <f t="shared" si="23"/>
        <v>37.017777777777781</v>
      </c>
      <c r="O36" s="34">
        <f t="shared" si="23"/>
        <v>90.12</v>
      </c>
      <c r="P36" s="34">
        <f t="shared" ref="P36" si="24">(H36*100)/$R$3</f>
        <v>66.805185185185181</v>
      </c>
      <c r="Q36" s="50" t="s">
        <v>28</v>
      </c>
      <c r="R36" s="50" t="s">
        <v>32</v>
      </c>
      <c r="S36" s="50" t="s">
        <v>30</v>
      </c>
    </row>
    <row r="37" spans="1:19" ht="15" customHeight="1" thickBot="1" x14ac:dyDescent="0.35">
      <c r="A37" s="54"/>
      <c r="B37" s="10" t="s">
        <v>122</v>
      </c>
      <c r="C37" s="43"/>
      <c r="D37" s="43"/>
      <c r="E37" s="43"/>
      <c r="F37" s="43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50"/>
      <c r="R37" s="50"/>
      <c r="S37" s="50"/>
    </row>
    <row r="38" spans="1:19" ht="15" customHeight="1" x14ac:dyDescent="0.3">
      <c r="A38" s="54"/>
      <c r="B38" s="11" t="s">
        <v>77</v>
      </c>
      <c r="C38" s="42"/>
      <c r="D38" s="42"/>
      <c r="E38" s="42"/>
      <c r="F38" s="42"/>
      <c r="G38" s="46">
        <f t="shared" ref="G38" si="25">SUM(D38:F38)</f>
        <v>0</v>
      </c>
      <c r="H38" s="53"/>
      <c r="I38" s="53"/>
      <c r="J38" s="53"/>
      <c r="K38" s="53"/>
      <c r="L38" s="53"/>
      <c r="M38" s="49"/>
      <c r="N38" s="49"/>
      <c r="O38" s="49"/>
      <c r="P38" s="49"/>
      <c r="Q38" s="51"/>
      <c r="R38" s="51"/>
      <c r="S38" s="51"/>
    </row>
    <row r="39" spans="1:19" ht="15" customHeight="1" thickBot="1" x14ac:dyDescent="0.35">
      <c r="A39" s="54"/>
      <c r="B39" s="11" t="s">
        <v>78</v>
      </c>
      <c r="C39" s="43"/>
      <c r="D39" s="43"/>
      <c r="E39" s="43"/>
      <c r="F39" s="43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51"/>
      <c r="R39" s="51"/>
      <c r="S39" s="51"/>
    </row>
    <row r="40" spans="1:19" ht="15" customHeight="1" x14ac:dyDescent="0.3">
      <c r="A40" s="54"/>
      <c r="B40" s="11" t="s">
        <v>76</v>
      </c>
      <c r="C40" s="42"/>
      <c r="D40" s="42"/>
      <c r="E40" s="42"/>
      <c r="F40" s="42"/>
      <c r="G40" s="46">
        <f t="shared" ref="G40" si="26"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51"/>
      <c r="R40" s="51"/>
      <c r="S40" s="51"/>
    </row>
    <row r="41" spans="1:19" ht="15" customHeight="1" thickBot="1" x14ac:dyDescent="0.35">
      <c r="A41" s="54"/>
      <c r="B41" s="11" t="s">
        <v>120</v>
      </c>
      <c r="C41" s="43"/>
      <c r="D41" s="43"/>
      <c r="E41" s="43"/>
      <c r="F41" s="43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51"/>
      <c r="R41" s="51"/>
      <c r="S41" s="51"/>
    </row>
    <row r="42" spans="1:19" ht="15" customHeight="1" x14ac:dyDescent="0.3">
      <c r="A42" s="54">
        <v>7</v>
      </c>
      <c r="B42" s="10" t="s">
        <v>121</v>
      </c>
      <c r="C42" s="42" t="s">
        <v>13</v>
      </c>
      <c r="D42" s="42">
        <v>63178</v>
      </c>
      <c r="E42" s="42">
        <v>31435</v>
      </c>
      <c r="F42" s="42">
        <v>81557</v>
      </c>
      <c r="G42" s="46">
        <f t="shared" ref="G42" si="27">SUM(D42:F42)</f>
        <v>176170</v>
      </c>
      <c r="H42" s="43">
        <f>SUM(G42:G46)</f>
        <v>176170</v>
      </c>
      <c r="I42" s="53">
        <v>341</v>
      </c>
      <c r="J42" s="53">
        <v>170</v>
      </c>
      <c r="K42" s="53">
        <v>441</v>
      </c>
      <c r="L42" s="53"/>
      <c r="M42" s="34">
        <f t="shared" ref="M42:O42" si="28">(100*D42)/$S$3</f>
        <v>70.197777777777773</v>
      </c>
      <c r="N42" s="34">
        <f t="shared" si="28"/>
        <v>34.927777777777777</v>
      </c>
      <c r="O42" s="34">
        <f t="shared" si="28"/>
        <v>90.61888888888889</v>
      </c>
      <c r="P42" s="34">
        <f>(H42*100)/$R$3</f>
        <v>65.248148148148147</v>
      </c>
      <c r="Q42" s="50" t="s">
        <v>29</v>
      </c>
      <c r="R42" s="50" t="s">
        <v>32</v>
      </c>
      <c r="S42" s="50" t="s">
        <v>30</v>
      </c>
    </row>
    <row r="43" spans="1:19" ht="15" customHeight="1" thickBot="1" x14ac:dyDescent="0.35">
      <c r="A43" s="54"/>
      <c r="B43" s="10" t="s">
        <v>122</v>
      </c>
      <c r="C43" s="43"/>
      <c r="D43" s="43"/>
      <c r="E43" s="43"/>
      <c r="F43" s="43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50"/>
      <c r="R43" s="50"/>
      <c r="S43" s="50"/>
    </row>
    <row r="44" spans="1:19" ht="15" customHeight="1" x14ac:dyDescent="0.3">
      <c r="A44" s="54"/>
      <c r="B44" s="11" t="s">
        <v>77</v>
      </c>
      <c r="C44" s="42"/>
      <c r="D44" s="42"/>
      <c r="E44" s="42"/>
      <c r="F44" s="42"/>
      <c r="G44" s="46">
        <f t="shared" ref="G44" si="29"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51"/>
      <c r="R44" s="51"/>
      <c r="S44" s="51"/>
    </row>
    <row r="45" spans="1:19" ht="15" customHeight="1" thickBot="1" x14ac:dyDescent="0.35">
      <c r="A45" s="54"/>
      <c r="B45" s="11" t="s">
        <v>78</v>
      </c>
      <c r="C45" s="43"/>
      <c r="D45" s="43"/>
      <c r="E45" s="43"/>
      <c r="F45" s="43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51"/>
      <c r="R45" s="51"/>
      <c r="S45" s="51"/>
    </row>
    <row r="46" spans="1:19" ht="15" customHeight="1" x14ac:dyDescent="0.3">
      <c r="A46" s="54"/>
      <c r="B46" s="11" t="s">
        <v>76</v>
      </c>
      <c r="C46" s="42"/>
      <c r="D46" s="42"/>
      <c r="E46" s="42"/>
      <c r="F46" s="42"/>
      <c r="G46" s="46">
        <f t="shared" ref="G46" si="30"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51"/>
      <c r="R46" s="51"/>
      <c r="S46" s="51"/>
    </row>
    <row r="47" spans="1:19" ht="15" customHeight="1" thickBot="1" x14ac:dyDescent="0.35">
      <c r="A47" s="54"/>
      <c r="B47" s="11" t="s">
        <v>120</v>
      </c>
      <c r="C47" s="47"/>
      <c r="D47" s="47"/>
      <c r="E47" s="47"/>
      <c r="F47" s="47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51"/>
      <c r="R47" s="51"/>
      <c r="S47" s="51"/>
    </row>
    <row r="48" spans="1:19" ht="15" thickBot="1" x14ac:dyDescent="0.35">
      <c r="C48" s="35" t="s">
        <v>23</v>
      </c>
      <c r="D48" s="37">
        <f>SUM(D6:D47)</f>
        <v>492900</v>
      </c>
      <c r="E48" s="37">
        <f>SUM(E6:E47)</f>
        <v>431306</v>
      </c>
      <c r="F48" s="37">
        <f>SUM(F6:F47)</f>
        <v>565835</v>
      </c>
      <c r="G48" s="37">
        <f>SUM(G6:G46)</f>
        <v>1490041</v>
      </c>
      <c r="H48" s="37">
        <f>SUM(H6:H47)</f>
        <v>1490041</v>
      </c>
    </row>
    <row r="49" spans="3:17" ht="15" thickBot="1" x14ac:dyDescent="0.35">
      <c r="C49" s="36"/>
      <c r="D49" s="38"/>
      <c r="E49" s="38"/>
      <c r="F49" s="38"/>
      <c r="G49" s="38"/>
      <c r="H49" s="38"/>
      <c r="J49" s="13" t="s">
        <v>61</v>
      </c>
      <c r="K49" s="13" t="s">
        <v>62</v>
      </c>
      <c r="L49" s="102" t="s">
        <v>63</v>
      </c>
      <c r="M49" s="103"/>
      <c r="N49" s="13" t="s">
        <v>62</v>
      </c>
      <c r="O49" s="13" t="s">
        <v>64</v>
      </c>
      <c r="P49" s="13" t="s">
        <v>62</v>
      </c>
      <c r="Q49" s="9"/>
    </row>
    <row r="50" spans="3:17" x14ac:dyDescent="0.3">
      <c r="J50" s="16">
        <v>6</v>
      </c>
      <c r="K50" s="17" t="s">
        <v>65</v>
      </c>
      <c r="L50" s="104">
        <v>6</v>
      </c>
      <c r="M50" s="104"/>
      <c r="N50" s="17" t="s">
        <v>65</v>
      </c>
      <c r="O50" s="16"/>
      <c r="P50" s="16"/>
    </row>
    <row r="51" spans="3:17" x14ac:dyDescent="0.3">
      <c r="J51" s="16">
        <v>7</v>
      </c>
      <c r="K51" s="17" t="s">
        <v>65</v>
      </c>
      <c r="L51" s="104">
        <v>7</v>
      </c>
      <c r="M51" s="104"/>
      <c r="N51" s="17" t="s">
        <v>65</v>
      </c>
      <c r="O51" s="16"/>
      <c r="P51" s="16"/>
    </row>
    <row r="52" spans="3:17" x14ac:dyDescent="0.3">
      <c r="J52" s="14"/>
      <c r="K52" s="14"/>
      <c r="L52" s="105"/>
      <c r="M52" s="105"/>
      <c r="N52" s="14"/>
      <c r="O52" s="14"/>
      <c r="P52" s="14"/>
    </row>
    <row r="53" spans="3:17" x14ac:dyDescent="0.3">
      <c r="J53" s="15"/>
      <c r="K53" s="15"/>
      <c r="L53" s="15"/>
      <c r="M53" s="15"/>
      <c r="N53" s="15"/>
      <c r="O53" s="15"/>
      <c r="P53" s="15"/>
    </row>
  </sheetData>
  <mergeCells count="219">
    <mergeCell ref="F34:F35"/>
    <mergeCell ref="F40:F41"/>
    <mergeCell ref="E40:E41"/>
    <mergeCell ref="D40:D41"/>
    <mergeCell ref="C40:C41"/>
    <mergeCell ref="D38:D39"/>
    <mergeCell ref="E38:E39"/>
    <mergeCell ref="F38:F39"/>
    <mergeCell ref="E36:E37"/>
    <mergeCell ref="D36:D37"/>
    <mergeCell ref="C36:C37"/>
    <mergeCell ref="E34:E35"/>
    <mergeCell ref="C34:C35"/>
    <mergeCell ref="D34:D35"/>
    <mergeCell ref="G6:G7"/>
    <mergeCell ref="F6:F7"/>
    <mergeCell ref="E6:E7"/>
    <mergeCell ref="D6:D7"/>
    <mergeCell ref="C6:C7"/>
    <mergeCell ref="G16:G17"/>
    <mergeCell ref="F16:F17"/>
    <mergeCell ref="E16:E17"/>
    <mergeCell ref="D16:D17"/>
    <mergeCell ref="C16:C17"/>
    <mergeCell ref="C14:C15"/>
    <mergeCell ref="D14:D15"/>
    <mergeCell ref="E14:E15"/>
    <mergeCell ref="F14:F15"/>
    <mergeCell ref="G14:G15"/>
    <mergeCell ref="G12:G13"/>
    <mergeCell ref="F12:F13"/>
    <mergeCell ref="E12:E13"/>
    <mergeCell ref="G10:G11"/>
    <mergeCell ref="F10:F11"/>
    <mergeCell ref="E10:E11"/>
    <mergeCell ref="D10:D11"/>
    <mergeCell ref="C10:C11"/>
    <mergeCell ref="C8:C9"/>
    <mergeCell ref="D8:D9"/>
    <mergeCell ref="E8:E9"/>
    <mergeCell ref="F8:F9"/>
    <mergeCell ref="G8:G9"/>
    <mergeCell ref="L50:M50"/>
    <mergeCell ref="L51:M51"/>
    <mergeCell ref="L52:M52"/>
    <mergeCell ref="K18:K23"/>
    <mergeCell ref="L18:L23"/>
    <mergeCell ref="E20:E21"/>
    <mergeCell ref="F20:F21"/>
    <mergeCell ref="G20:G21"/>
    <mergeCell ref="G18:G19"/>
    <mergeCell ref="F18:F19"/>
    <mergeCell ref="E18:E19"/>
    <mergeCell ref="I36:I41"/>
    <mergeCell ref="J36:J41"/>
    <mergeCell ref="G24:G25"/>
    <mergeCell ref="F24:F25"/>
    <mergeCell ref="E24:E25"/>
    <mergeCell ref="E32:E33"/>
    <mergeCell ref="G34:G35"/>
    <mergeCell ref="F32:F33"/>
    <mergeCell ref="G32:G33"/>
    <mergeCell ref="E26:E27"/>
    <mergeCell ref="F26:F27"/>
    <mergeCell ref="G26:G27"/>
    <mergeCell ref="G30:G31"/>
    <mergeCell ref="R42:R47"/>
    <mergeCell ref="C48:C49"/>
    <mergeCell ref="D48:D49"/>
    <mergeCell ref="E48:E49"/>
    <mergeCell ref="F48:F49"/>
    <mergeCell ref="G48:G49"/>
    <mergeCell ref="H48:H49"/>
    <mergeCell ref="M42:M47"/>
    <mergeCell ref="N42:N47"/>
    <mergeCell ref="O42:O47"/>
    <mergeCell ref="L49:M49"/>
    <mergeCell ref="G46:G47"/>
    <mergeCell ref="F46:F47"/>
    <mergeCell ref="E46:E47"/>
    <mergeCell ref="D46:D47"/>
    <mergeCell ref="C46:C47"/>
    <mergeCell ref="C44:C45"/>
    <mergeCell ref="E42:E43"/>
    <mergeCell ref="D42:D43"/>
    <mergeCell ref="C42:C43"/>
    <mergeCell ref="A36:A41"/>
    <mergeCell ref="H36:H41"/>
    <mergeCell ref="D18:D19"/>
    <mergeCell ref="C18:C19"/>
    <mergeCell ref="G28:G29"/>
    <mergeCell ref="F28:F29"/>
    <mergeCell ref="E28:E29"/>
    <mergeCell ref="D28:D29"/>
    <mergeCell ref="C28:C29"/>
    <mergeCell ref="D24:D25"/>
    <mergeCell ref="C24:C25"/>
    <mergeCell ref="C32:C33"/>
    <mergeCell ref="D32:D33"/>
    <mergeCell ref="C26:C27"/>
    <mergeCell ref="D26:D27"/>
    <mergeCell ref="F30:F31"/>
    <mergeCell ref="E30:E31"/>
    <mergeCell ref="D30:D31"/>
    <mergeCell ref="C30:C31"/>
    <mergeCell ref="C38:C39"/>
    <mergeCell ref="G40:G41"/>
    <mergeCell ref="G38:G39"/>
    <mergeCell ref="G36:G37"/>
    <mergeCell ref="F36:F37"/>
    <mergeCell ref="Q36:Q41"/>
    <mergeCell ref="R36:R41"/>
    <mergeCell ref="S36:S41"/>
    <mergeCell ref="A42:A47"/>
    <mergeCell ref="H42:H47"/>
    <mergeCell ref="I42:I47"/>
    <mergeCell ref="J42:J47"/>
    <mergeCell ref="K42:K47"/>
    <mergeCell ref="L42:L47"/>
    <mergeCell ref="K36:K41"/>
    <mergeCell ref="L36:L41"/>
    <mergeCell ref="M36:M41"/>
    <mergeCell ref="N36:N41"/>
    <mergeCell ref="O36:O41"/>
    <mergeCell ref="P36:P41"/>
    <mergeCell ref="S42:S47"/>
    <mergeCell ref="P42:P47"/>
    <mergeCell ref="Q42:Q47"/>
    <mergeCell ref="G42:G43"/>
    <mergeCell ref="F42:F43"/>
    <mergeCell ref="D44:D45"/>
    <mergeCell ref="E44:E45"/>
    <mergeCell ref="F44:F45"/>
    <mergeCell ref="G44:G45"/>
    <mergeCell ref="O30:O35"/>
    <mergeCell ref="P30:P35"/>
    <mergeCell ref="Q30:Q35"/>
    <mergeCell ref="R30:R35"/>
    <mergeCell ref="S30:S35"/>
    <mergeCell ref="A24:A29"/>
    <mergeCell ref="H24:H29"/>
    <mergeCell ref="I24:I29"/>
    <mergeCell ref="J24:J29"/>
    <mergeCell ref="A30:A35"/>
    <mergeCell ref="H30:H35"/>
    <mergeCell ref="I30:I35"/>
    <mergeCell ref="J30:J35"/>
    <mergeCell ref="K30:K35"/>
    <mergeCell ref="L30:L35"/>
    <mergeCell ref="M30:M35"/>
    <mergeCell ref="N30:N35"/>
    <mergeCell ref="M24:M29"/>
    <mergeCell ref="N24:N29"/>
    <mergeCell ref="K24:K29"/>
    <mergeCell ref="L24:L29"/>
    <mergeCell ref="S24:S29"/>
    <mergeCell ref="O24:O29"/>
    <mergeCell ref="P24:P29"/>
    <mergeCell ref="P12:P17"/>
    <mergeCell ref="Q12:Q17"/>
    <mergeCell ref="R12:R17"/>
    <mergeCell ref="S12:S17"/>
    <mergeCell ref="A18:A23"/>
    <mergeCell ref="H18:H23"/>
    <mergeCell ref="I18:I23"/>
    <mergeCell ref="J18:J23"/>
    <mergeCell ref="Q18:Q23"/>
    <mergeCell ref="R18:R23"/>
    <mergeCell ref="S18:S23"/>
    <mergeCell ref="M18:M23"/>
    <mergeCell ref="N18:N23"/>
    <mergeCell ref="O18:O23"/>
    <mergeCell ref="P18:P23"/>
    <mergeCell ref="F22:F23"/>
    <mergeCell ref="G22:G23"/>
    <mergeCell ref="E22:E23"/>
    <mergeCell ref="D22:D23"/>
    <mergeCell ref="C22:C23"/>
    <mergeCell ref="C20:C21"/>
    <mergeCell ref="D20:D21"/>
    <mergeCell ref="C12:C13"/>
    <mergeCell ref="D12:D13"/>
    <mergeCell ref="Q24:Q29"/>
    <mergeCell ref="R24:R29"/>
    <mergeCell ref="A6:A11"/>
    <mergeCell ref="H6:H11"/>
    <mergeCell ref="I6:I11"/>
    <mergeCell ref="J6:J11"/>
    <mergeCell ref="K6:K11"/>
    <mergeCell ref="L6:L11"/>
    <mergeCell ref="S6:S11"/>
    <mergeCell ref="A12:A17"/>
    <mergeCell ref="H12:H17"/>
    <mergeCell ref="I12:I17"/>
    <mergeCell ref="J12:J17"/>
    <mergeCell ref="K12:K17"/>
    <mergeCell ref="L12:L17"/>
    <mergeCell ref="M12:M17"/>
    <mergeCell ref="N12:N17"/>
    <mergeCell ref="M6:M11"/>
    <mergeCell ref="N6:N11"/>
    <mergeCell ref="O6:O11"/>
    <mergeCell ref="P6:P11"/>
    <mergeCell ref="Q6:Q11"/>
    <mergeCell ref="R6:R11"/>
    <mergeCell ref="O12:O17"/>
    <mergeCell ref="A1:C3"/>
    <mergeCell ref="D1:Q3"/>
    <mergeCell ref="R1:S1"/>
    <mergeCell ref="A4:A5"/>
    <mergeCell ref="B4:B5"/>
    <mergeCell ref="C4:C5"/>
    <mergeCell ref="D4:F4"/>
    <mergeCell ref="G4:G5"/>
    <mergeCell ref="H4:H5"/>
    <mergeCell ref="I4:K4"/>
    <mergeCell ref="L4:L5"/>
    <mergeCell ref="M4:P4"/>
    <mergeCell ref="Q4:S4"/>
  </mergeCells>
  <pageMargins left="0.19685039370078741" right="0.19685039370078741" top="0.19685039370078741" bottom="0.19685039370078741" header="0.31496062992125984" footer="0.31496062992125984"/>
  <pageSetup paperSize="8" scale="9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5413-81F5-43EB-9B97-9F8CBA426C42}">
  <dimension ref="A1:S53"/>
  <sheetViews>
    <sheetView zoomScaleNormal="100" workbookViewId="0">
      <selection activeCell="B6" sqref="B6:B47"/>
    </sheetView>
  </sheetViews>
  <sheetFormatPr defaultRowHeight="14.4" x14ac:dyDescent="0.3"/>
  <cols>
    <col min="1" max="1" width="7.88671875" customWidth="1"/>
    <col min="2" max="2" width="13.1093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9" width="20.77734375" customWidth="1"/>
  </cols>
  <sheetData>
    <row r="1" spans="1:19" ht="15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9" t="s">
        <v>40</v>
      </c>
      <c r="S1" s="90"/>
    </row>
    <row r="2" spans="1:19" ht="15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7" t="s">
        <v>19</v>
      </c>
      <c r="S2" s="7" t="s">
        <v>20</v>
      </c>
    </row>
    <row r="3" spans="1:19" ht="15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8">
        <v>270000</v>
      </c>
      <c r="S3" s="6">
        <v>90000</v>
      </c>
    </row>
    <row r="4" spans="1:19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6" t="s">
        <v>11</v>
      </c>
      <c r="R4" s="67"/>
      <c r="S4" s="68"/>
    </row>
    <row r="5" spans="1:19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5" t="s">
        <v>10</v>
      </c>
      <c r="Q5" s="1" t="s">
        <v>4</v>
      </c>
      <c r="R5" s="2" t="s">
        <v>5</v>
      </c>
      <c r="S5" s="3" t="s">
        <v>6</v>
      </c>
    </row>
    <row r="6" spans="1:19" ht="15" customHeight="1" x14ac:dyDescent="0.3">
      <c r="A6" s="59">
        <v>1</v>
      </c>
      <c r="B6" s="10" t="s">
        <v>121</v>
      </c>
      <c r="C6" s="46" t="s">
        <v>12</v>
      </c>
      <c r="D6" s="46">
        <v>73119</v>
      </c>
      <c r="E6" s="46">
        <v>67408</v>
      </c>
      <c r="F6" s="46">
        <v>66633</v>
      </c>
      <c r="G6" s="46">
        <f>SUM(D6:F6)</f>
        <v>207160</v>
      </c>
      <c r="H6" s="43">
        <f>SUM(G6:G10)</f>
        <v>207160</v>
      </c>
      <c r="I6" s="43">
        <v>419</v>
      </c>
      <c r="J6" s="43">
        <v>383</v>
      </c>
      <c r="K6" s="43">
        <v>379</v>
      </c>
      <c r="L6" s="43"/>
      <c r="M6" s="34">
        <f>(100*D6)/$S$3</f>
        <v>81.243333333333339</v>
      </c>
      <c r="N6" s="34">
        <f t="shared" ref="N6:O6" si="0">(100*E6)/$S$3</f>
        <v>74.897777777777776</v>
      </c>
      <c r="O6" s="34">
        <f t="shared" si="0"/>
        <v>74.036666666666662</v>
      </c>
      <c r="P6" s="34">
        <f>(H6*100)/$R$3</f>
        <v>76.725925925925921</v>
      </c>
      <c r="Q6" s="50" t="s">
        <v>35</v>
      </c>
      <c r="R6" s="106" t="s">
        <v>36</v>
      </c>
      <c r="S6" s="50" t="s">
        <v>35</v>
      </c>
    </row>
    <row r="7" spans="1:19" ht="15" customHeight="1" thickBot="1" x14ac:dyDescent="0.35">
      <c r="A7" s="59"/>
      <c r="B7" s="10" t="s">
        <v>122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34"/>
      <c r="N7" s="34"/>
      <c r="O7" s="34"/>
      <c r="P7" s="34"/>
      <c r="Q7" s="50"/>
      <c r="R7" s="107"/>
      <c r="S7" s="50"/>
    </row>
    <row r="8" spans="1:19" ht="15" customHeight="1" x14ac:dyDescent="0.3">
      <c r="A8" s="54"/>
      <c r="B8" s="11" t="s">
        <v>77</v>
      </c>
      <c r="C8" s="42"/>
      <c r="D8" s="42"/>
      <c r="E8" s="42"/>
      <c r="F8" s="42"/>
      <c r="G8" s="46">
        <f t="shared" ref="G8" si="1">SUM(D8:F8)</f>
        <v>0</v>
      </c>
      <c r="H8" s="53"/>
      <c r="I8" s="53"/>
      <c r="J8" s="53"/>
      <c r="K8" s="53"/>
      <c r="L8" s="53"/>
      <c r="M8" s="49"/>
      <c r="N8" s="49"/>
      <c r="O8" s="49"/>
      <c r="P8" s="49"/>
      <c r="Q8" s="51"/>
      <c r="R8" s="107"/>
      <c r="S8" s="51"/>
    </row>
    <row r="9" spans="1:19" ht="15" customHeight="1" thickBot="1" x14ac:dyDescent="0.35">
      <c r="A9" s="54"/>
      <c r="B9" s="11" t="s">
        <v>78</v>
      </c>
      <c r="C9" s="43"/>
      <c r="D9" s="43"/>
      <c r="E9" s="43"/>
      <c r="F9" s="43"/>
      <c r="G9" s="43"/>
      <c r="H9" s="53"/>
      <c r="I9" s="53"/>
      <c r="J9" s="53"/>
      <c r="K9" s="53"/>
      <c r="L9" s="53"/>
      <c r="M9" s="49"/>
      <c r="N9" s="49"/>
      <c r="O9" s="49"/>
      <c r="P9" s="49"/>
      <c r="Q9" s="51"/>
      <c r="R9" s="107"/>
      <c r="S9" s="51"/>
    </row>
    <row r="10" spans="1:19" ht="15" customHeight="1" x14ac:dyDescent="0.3">
      <c r="A10" s="54"/>
      <c r="B10" s="11" t="s">
        <v>76</v>
      </c>
      <c r="C10" s="42"/>
      <c r="D10" s="42"/>
      <c r="E10" s="42"/>
      <c r="F10" s="42"/>
      <c r="G10" s="46">
        <f t="shared" ref="G10" si="2">SUM(D10:F10)</f>
        <v>0</v>
      </c>
      <c r="H10" s="53"/>
      <c r="I10" s="53"/>
      <c r="J10" s="53"/>
      <c r="K10" s="53"/>
      <c r="L10" s="53"/>
      <c r="M10" s="49"/>
      <c r="N10" s="49"/>
      <c r="O10" s="49"/>
      <c r="P10" s="49"/>
      <c r="Q10" s="51"/>
      <c r="R10" s="107"/>
      <c r="S10" s="51"/>
    </row>
    <row r="11" spans="1:19" ht="15" customHeight="1" thickBot="1" x14ac:dyDescent="0.35">
      <c r="A11" s="54"/>
      <c r="B11" s="11" t="s">
        <v>120</v>
      </c>
      <c r="C11" s="43"/>
      <c r="D11" s="43"/>
      <c r="E11" s="43"/>
      <c r="F11" s="43"/>
      <c r="G11" s="43"/>
      <c r="H11" s="53"/>
      <c r="I11" s="53"/>
      <c r="J11" s="53"/>
      <c r="K11" s="53"/>
      <c r="L11" s="53"/>
      <c r="M11" s="49"/>
      <c r="N11" s="49"/>
      <c r="O11" s="49"/>
      <c r="P11" s="49"/>
      <c r="Q11" s="51"/>
      <c r="R11" s="50"/>
      <c r="S11" s="51"/>
    </row>
    <row r="12" spans="1:19" ht="15" customHeight="1" x14ac:dyDescent="0.3">
      <c r="A12" s="54">
        <v>2</v>
      </c>
      <c r="B12" s="10" t="s">
        <v>121</v>
      </c>
      <c r="C12" s="42" t="s">
        <v>12</v>
      </c>
      <c r="D12" s="42">
        <v>72230</v>
      </c>
      <c r="E12" s="42">
        <v>66515</v>
      </c>
      <c r="F12" s="42">
        <v>65867</v>
      </c>
      <c r="G12" s="46">
        <f t="shared" ref="G12" si="3">SUM(D12:F12)</f>
        <v>204612</v>
      </c>
      <c r="H12" s="43">
        <f>SUM(G12:G16)</f>
        <v>204612</v>
      </c>
      <c r="I12" s="53">
        <v>424</v>
      </c>
      <c r="J12" s="53">
        <v>384</v>
      </c>
      <c r="K12" s="53">
        <v>380</v>
      </c>
      <c r="L12" s="53"/>
      <c r="M12" s="34">
        <f>(100*D12)/$S$3</f>
        <v>80.25555555555556</v>
      </c>
      <c r="N12" s="34">
        <f t="shared" ref="N12:O12" si="4">(100*E12)/$S$3</f>
        <v>73.905555555555551</v>
      </c>
      <c r="O12" s="34">
        <f t="shared" si="4"/>
        <v>73.185555555555553</v>
      </c>
      <c r="P12" s="34">
        <f>(H12*100)/$R$3</f>
        <v>75.782222222222217</v>
      </c>
      <c r="Q12" s="50" t="s">
        <v>35</v>
      </c>
      <c r="R12" s="108" t="s">
        <v>36</v>
      </c>
      <c r="S12" s="50" t="s">
        <v>35</v>
      </c>
    </row>
    <row r="13" spans="1:19" ht="15" customHeight="1" thickBot="1" x14ac:dyDescent="0.35">
      <c r="A13" s="54"/>
      <c r="B13" s="10" t="s">
        <v>122</v>
      </c>
      <c r="C13" s="43"/>
      <c r="D13" s="43"/>
      <c r="E13" s="43"/>
      <c r="F13" s="43"/>
      <c r="G13" s="43"/>
      <c r="H13" s="43"/>
      <c r="I13" s="53"/>
      <c r="J13" s="53"/>
      <c r="K13" s="53"/>
      <c r="L13" s="53"/>
      <c r="M13" s="34"/>
      <c r="N13" s="34"/>
      <c r="O13" s="34"/>
      <c r="P13" s="34"/>
      <c r="Q13" s="50"/>
      <c r="R13" s="107"/>
      <c r="S13" s="50"/>
    </row>
    <row r="14" spans="1:19" ht="15" customHeight="1" x14ac:dyDescent="0.3">
      <c r="A14" s="54"/>
      <c r="B14" s="11" t="s">
        <v>77</v>
      </c>
      <c r="C14" s="42"/>
      <c r="D14" s="42"/>
      <c r="E14" s="42"/>
      <c r="F14" s="42"/>
      <c r="G14" s="46">
        <f t="shared" ref="G14" si="5">SUM(D14:F14)</f>
        <v>0</v>
      </c>
      <c r="H14" s="53"/>
      <c r="I14" s="53"/>
      <c r="J14" s="53"/>
      <c r="K14" s="53"/>
      <c r="L14" s="53"/>
      <c r="M14" s="49"/>
      <c r="N14" s="49"/>
      <c r="O14" s="49"/>
      <c r="P14" s="49"/>
      <c r="Q14" s="51"/>
      <c r="R14" s="107"/>
      <c r="S14" s="51"/>
    </row>
    <row r="15" spans="1:19" ht="15" customHeight="1" thickBot="1" x14ac:dyDescent="0.35">
      <c r="A15" s="54"/>
      <c r="B15" s="11" t="s">
        <v>78</v>
      </c>
      <c r="C15" s="43"/>
      <c r="D15" s="43"/>
      <c r="E15" s="43"/>
      <c r="F15" s="43"/>
      <c r="G15" s="43"/>
      <c r="H15" s="53"/>
      <c r="I15" s="53"/>
      <c r="J15" s="53"/>
      <c r="K15" s="53"/>
      <c r="L15" s="53"/>
      <c r="M15" s="49"/>
      <c r="N15" s="49"/>
      <c r="O15" s="49"/>
      <c r="P15" s="49"/>
      <c r="Q15" s="51"/>
      <c r="R15" s="107"/>
      <c r="S15" s="51"/>
    </row>
    <row r="16" spans="1:19" ht="15" customHeight="1" x14ac:dyDescent="0.3">
      <c r="A16" s="54"/>
      <c r="B16" s="11" t="s">
        <v>76</v>
      </c>
      <c r="C16" s="42"/>
      <c r="D16" s="42"/>
      <c r="E16" s="42"/>
      <c r="F16" s="42"/>
      <c r="G16" s="46">
        <f t="shared" ref="G16" si="6">SUM(D16:F16)</f>
        <v>0</v>
      </c>
      <c r="H16" s="53"/>
      <c r="I16" s="53"/>
      <c r="J16" s="53"/>
      <c r="K16" s="53"/>
      <c r="L16" s="53"/>
      <c r="M16" s="49"/>
      <c r="N16" s="49"/>
      <c r="O16" s="49"/>
      <c r="P16" s="49"/>
      <c r="Q16" s="51"/>
      <c r="R16" s="107"/>
      <c r="S16" s="51"/>
    </row>
    <row r="17" spans="1:19" ht="15" customHeight="1" thickBot="1" x14ac:dyDescent="0.35">
      <c r="A17" s="54"/>
      <c r="B17" s="11" t="s">
        <v>120</v>
      </c>
      <c r="C17" s="43"/>
      <c r="D17" s="43"/>
      <c r="E17" s="43"/>
      <c r="F17" s="43"/>
      <c r="G17" s="43"/>
      <c r="H17" s="53"/>
      <c r="I17" s="53"/>
      <c r="J17" s="53"/>
      <c r="K17" s="53"/>
      <c r="L17" s="53"/>
      <c r="M17" s="49"/>
      <c r="N17" s="49"/>
      <c r="O17" s="49"/>
      <c r="P17" s="49"/>
      <c r="Q17" s="51"/>
      <c r="R17" s="50"/>
      <c r="S17" s="51"/>
    </row>
    <row r="18" spans="1:19" ht="15" customHeight="1" x14ac:dyDescent="0.3">
      <c r="A18" s="54">
        <v>3</v>
      </c>
      <c r="B18" s="10" t="s">
        <v>121</v>
      </c>
      <c r="C18" s="42" t="s">
        <v>12</v>
      </c>
      <c r="D18" s="42">
        <v>70373</v>
      </c>
      <c r="E18" s="42">
        <v>70003</v>
      </c>
      <c r="F18" s="42">
        <v>67047</v>
      </c>
      <c r="G18" s="46">
        <f t="shared" ref="G18" si="7">SUM(D18:F18)</f>
        <v>207423</v>
      </c>
      <c r="H18" s="43">
        <f>SUM(G18:G22)</f>
        <v>207423</v>
      </c>
      <c r="I18" s="53"/>
      <c r="J18" s="53"/>
      <c r="K18" s="53"/>
      <c r="L18" s="53"/>
      <c r="M18" s="34">
        <f t="shared" ref="M18:O18" si="8">(100*D18)/$S$3</f>
        <v>78.192222222222227</v>
      </c>
      <c r="N18" s="34">
        <f t="shared" si="8"/>
        <v>77.781111111111116</v>
      </c>
      <c r="O18" s="34">
        <f t="shared" si="8"/>
        <v>74.49666666666667</v>
      </c>
      <c r="P18" s="34">
        <f t="shared" ref="P18" si="9">(H18*100)/$R$3</f>
        <v>76.823333333333338</v>
      </c>
      <c r="Q18" s="50" t="s">
        <v>35</v>
      </c>
      <c r="R18" s="50" t="s">
        <v>36</v>
      </c>
      <c r="S18" s="50" t="s">
        <v>35</v>
      </c>
    </row>
    <row r="19" spans="1:19" ht="15" customHeight="1" thickBot="1" x14ac:dyDescent="0.35">
      <c r="A19" s="54"/>
      <c r="B19" s="10" t="s">
        <v>122</v>
      </c>
      <c r="C19" s="43"/>
      <c r="D19" s="43"/>
      <c r="E19" s="43"/>
      <c r="F19" s="43"/>
      <c r="G19" s="43"/>
      <c r="H19" s="43"/>
      <c r="I19" s="53"/>
      <c r="J19" s="53"/>
      <c r="K19" s="53"/>
      <c r="L19" s="53"/>
      <c r="M19" s="34"/>
      <c r="N19" s="34"/>
      <c r="O19" s="34"/>
      <c r="P19" s="34"/>
      <c r="Q19" s="50"/>
      <c r="R19" s="50"/>
      <c r="S19" s="50"/>
    </row>
    <row r="20" spans="1:19" ht="15" customHeight="1" x14ac:dyDescent="0.3">
      <c r="A20" s="54"/>
      <c r="B20" s="11" t="s">
        <v>77</v>
      </c>
      <c r="C20" s="42"/>
      <c r="D20" s="42"/>
      <c r="E20" s="42"/>
      <c r="F20" s="42"/>
      <c r="G20" s="46">
        <f t="shared" ref="G20" si="10">SUM(D20:F20)</f>
        <v>0</v>
      </c>
      <c r="H20" s="53"/>
      <c r="I20" s="53"/>
      <c r="J20" s="53"/>
      <c r="K20" s="53"/>
      <c r="L20" s="53"/>
      <c r="M20" s="49"/>
      <c r="N20" s="49"/>
      <c r="O20" s="49"/>
      <c r="P20" s="49"/>
      <c r="Q20" s="51"/>
      <c r="R20" s="51"/>
      <c r="S20" s="51"/>
    </row>
    <row r="21" spans="1:19" ht="15" customHeight="1" thickBot="1" x14ac:dyDescent="0.35">
      <c r="A21" s="54"/>
      <c r="B21" s="11" t="s">
        <v>78</v>
      </c>
      <c r="C21" s="43"/>
      <c r="D21" s="43"/>
      <c r="E21" s="43"/>
      <c r="F21" s="43"/>
      <c r="G21" s="43"/>
      <c r="H21" s="53"/>
      <c r="I21" s="53"/>
      <c r="J21" s="53"/>
      <c r="K21" s="53"/>
      <c r="L21" s="53"/>
      <c r="M21" s="49"/>
      <c r="N21" s="49"/>
      <c r="O21" s="49"/>
      <c r="P21" s="49"/>
      <c r="Q21" s="51"/>
      <c r="R21" s="51"/>
      <c r="S21" s="51"/>
    </row>
    <row r="22" spans="1:19" ht="15" customHeight="1" x14ac:dyDescent="0.3">
      <c r="A22" s="54"/>
      <c r="B22" s="11" t="s">
        <v>76</v>
      </c>
      <c r="C22" s="42"/>
      <c r="D22" s="42"/>
      <c r="E22" s="42"/>
      <c r="F22" s="42"/>
      <c r="G22" s="46">
        <f t="shared" ref="G22" si="11">SUM(D22:F22)</f>
        <v>0</v>
      </c>
      <c r="H22" s="53"/>
      <c r="I22" s="53"/>
      <c r="J22" s="53"/>
      <c r="K22" s="53"/>
      <c r="L22" s="53"/>
      <c r="M22" s="49"/>
      <c r="N22" s="49"/>
      <c r="O22" s="49"/>
      <c r="P22" s="49"/>
      <c r="Q22" s="51"/>
      <c r="R22" s="51"/>
      <c r="S22" s="51"/>
    </row>
    <row r="23" spans="1:19" ht="15" customHeight="1" thickBot="1" x14ac:dyDescent="0.35">
      <c r="A23" s="54"/>
      <c r="B23" s="11" t="s">
        <v>120</v>
      </c>
      <c r="C23" s="43"/>
      <c r="D23" s="43"/>
      <c r="E23" s="43"/>
      <c r="F23" s="43"/>
      <c r="G23" s="43"/>
      <c r="H23" s="53"/>
      <c r="I23" s="53"/>
      <c r="J23" s="53"/>
      <c r="K23" s="53"/>
      <c r="L23" s="53"/>
      <c r="M23" s="49"/>
      <c r="N23" s="49"/>
      <c r="O23" s="49"/>
      <c r="P23" s="49"/>
      <c r="Q23" s="51"/>
      <c r="R23" s="51"/>
      <c r="S23" s="51"/>
    </row>
    <row r="24" spans="1:19" ht="15" customHeight="1" x14ac:dyDescent="0.3">
      <c r="A24" s="54">
        <v>4</v>
      </c>
      <c r="B24" s="10" t="s">
        <v>121</v>
      </c>
      <c r="C24" s="42" t="s">
        <v>12</v>
      </c>
      <c r="D24" s="42"/>
      <c r="E24" s="42">
        <v>8975</v>
      </c>
      <c r="F24" s="42"/>
      <c r="G24" s="46">
        <f t="shared" ref="G24" si="12">SUM(D24:F24)</f>
        <v>8975</v>
      </c>
      <c r="H24" s="43">
        <f>SUM(G24:G28)</f>
        <v>200045</v>
      </c>
      <c r="I24" s="53">
        <v>431</v>
      </c>
      <c r="J24" s="53">
        <v>323</v>
      </c>
      <c r="K24" s="53">
        <v>364</v>
      </c>
      <c r="L24" s="53"/>
      <c r="M24" s="34">
        <f t="shared" ref="M24:O24" si="13">(100*D24)/$S$3</f>
        <v>0</v>
      </c>
      <c r="N24" s="34">
        <f t="shared" si="13"/>
        <v>9.9722222222222214</v>
      </c>
      <c r="O24" s="34">
        <f t="shared" si="13"/>
        <v>0</v>
      </c>
      <c r="P24" s="34">
        <f t="shared" ref="P24" si="14">(H24*100)/$R$3</f>
        <v>74.090740740740742</v>
      </c>
      <c r="Q24" s="50" t="s">
        <v>35</v>
      </c>
      <c r="R24" s="50" t="s">
        <v>38</v>
      </c>
      <c r="S24" s="50" t="s">
        <v>35</v>
      </c>
    </row>
    <row r="25" spans="1:19" ht="15" customHeight="1" thickBot="1" x14ac:dyDescent="0.35">
      <c r="A25" s="54"/>
      <c r="B25" s="10" t="s">
        <v>122</v>
      </c>
      <c r="C25" s="43"/>
      <c r="D25" s="43"/>
      <c r="E25" s="43"/>
      <c r="F25" s="43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50"/>
      <c r="R25" s="50"/>
      <c r="S25" s="50"/>
    </row>
    <row r="26" spans="1:19" ht="15" customHeight="1" x14ac:dyDescent="0.3">
      <c r="A26" s="54"/>
      <c r="B26" s="11" t="s">
        <v>77</v>
      </c>
      <c r="C26" s="42" t="s">
        <v>25</v>
      </c>
      <c r="D26" s="42">
        <v>77021</v>
      </c>
      <c r="E26" s="42"/>
      <c r="F26" s="42"/>
      <c r="G26" s="46">
        <f t="shared" ref="G26" si="15">SUM(D26:F26)</f>
        <v>77021</v>
      </c>
      <c r="H26" s="53"/>
      <c r="I26" s="53"/>
      <c r="J26" s="53"/>
      <c r="K26" s="53"/>
      <c r="L26" s="53"/>
      <c r="M26" s="49"/>
      <c r="N26" s="49"/>
      <c r="O26" s="49"/>
      <c r="P26" s="49"/>
      <c r="Q26" s="51"/>
      <c r="R26" s="51"/>
      <c r="S26" s="51"/>
    </row>
    <row r="27" spans="1:19" ht="15" customHeight="1" thickBot="1" x14ac:dyDescent="0.35">
      <c r="A27" s="54"/>
      <c r="B27" s="11" t="s">
        <v>78</v>
      </c>
      <c r="C27" s="43"/>
      <c r="D27" s="43"/>
      <c r="E27" s="43"/>
      <c r="F27" s="43"/>
      <c r="G27" s="43"/>
      <c r="H27" s="53"/>
      <c r="I27" s="53"/>
      <c r="J27" s="53"/>
      <c r="K27" s="53"/>
      <c r="L27" s="53"/>
      <c r="M27" s="49"/>
      <c r="N27" s="49"/>
      <c r="O27" s="49"/>
      <c r="P27" s="49"/>
      <c r="Q27" s="51"/>
      <c r="R27" s="51"/>
      <c r="S27" s="51"/>
    </row>
    <row r="28" spans="1:19" ht="15" customHeight="1" x14ac:dyDescent="0.3">
      <c r="A28" s="54"/>
      <c r="B28" s="11" t="s">
        <v>76</v>
      </c>
      <c r="C28" s="42" t="s">
        <v>37</v>
      </c>
      <c r="D28" s="42"/>
      <c r="E28" s="42">
        <v>49018</v>
      </c>
      <c r="F28" s="42">
        <v>65031</v>
      </c>
      <c r="G28" s="46">
        <f t="shared" ref="G28" si="16">SUM(D28:F28)</f>
        <v>114049</v>
      </c>
      <c r="H28" s="53"/>
      <c r="I28" s="53"/>
      <c r="J28" s="53"/>
      <c r="K28" s="53"/>
      <c r="L28" s="53"/>
      <c r="M28" s="49"/>
      <c r="N28" s="49"/>
      <c r="O28" s="49"/>
      <c r="P28" s="49"/>
      <c r="Q28" s="51"/>
      <c r="R28" s="51"/>
      <c r="S28" s="51"/>
    </row>
    <row r="29" spans="1:19" ht="15" customHeight="1" thickBot="1" x14ac:dyDescent="0.35">
      <c r="A29" s="54"/>
      <c r="B29" s="11" t="s">
        <v>120</v>
      </c>
      <c r="C29" s="43"/>
      <c r="D29" s="43"/>
      <c r="E29" s="43"/>
      <c r="F29" s="43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51"/>
      <c r="R29" s="51"/>
      <c r="S29" s="51"/>
    </row>
    <row r="30" spans="1:19" ht="15" customHeight="1" x14ac:dyDescent="0.3">
      <c r="A30" s="54">
        <v>5</v>
      </c>
      <c r="B30" s="10" t="s">
        <v>121</v>
      </c>
      <c r="C30" s="42" t="s">
        <v>12</v>
      </c>
      <c r="D30" s="42"/>
      <c r="E30" s="42">
        <v>11678</v>
      </c>
      <c r="F30" s="42"/>
      <c r="G30" s="46">
        <f t="shared" ref="G30" si="17">SUM(D30:F30)</f>
        <v>11678</v>
      </c>
      <c r="H30" s="43">
        <f>SUM(G30:G34)</f>
        <v>213549</v>
      </c>
      <c r="I30" s="53">
        <v>441</v>
      </c>
      <c r="J30" s="53">
        <v>333</v>
      </c>
      <c r="K30" s="53">
        <v>382</v>
      </c>
      <c r="L30" s="53"/>
      <c r="M30" s="34">
        <f t="shared" ref="M30:O30" si="18">(100*D30)/$S$3</f>
        <v>0</v>
      </c>
      <c r="N30" s="34">
        <f t="shared" si="18"/>
        <v>12.975555555555555</v>
      </c>
      <c r="O30" s="34">
        <f t="shared" si="18"/>
        <v>0</v>
      </c>
      <c r="P30" s="34">
        <f t="shared" ref="P30" si="19">(H30*100)/$R$3</f>
        <v>79.092222222222219</v>
      </c>
      <c r="Q30" s="50" t="s">
        <v>35</v>
      </c>
      <c r="R30" s="50" t="s">
        <v>38</v>
      </c>
      <c r="S30" s="50" t="s">
        <v>35</v>
      </c>
    </row>
    <row r="31" spans="1:19" ht="15" customHeight="1" thickBot="1" x14ac:dyDescent="0.35">
      <c r="A31" s="54"/>
      <c r="B31" s="10" t="s">
        <v>122</v>
      </c>
      <c r="C31" s="43"/>
      <c r="D31" s="43"/>
      <c r="E31" s="43"/>
      <c r="F31" s="43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50"/>
      <c r="R31" s="50"/>
      <c r="S31" s="50"/>
    </row>
    <row r="32" spans="1:19" ht="15" customHeight="1" x14ac:dyDescent="0.3">
      <c r="A32" s="54"/>
      <c r="B32" s="11" t="s">
        <v>77</v>
      </c>
      <c r="C32" s="42" t="s">
        <v>25</v>
      </c>
      <c r="D32" s="42">
        <v>81367</v>
      </c>
      <c r="E32" s="42"/>
      <c r="F32" s="42"/>
      <c r="G32" s="46">
        <f t="shared" ref="G32" si="20">SUM(D32:F32)</f>
        <v>81367</v>
      </c>
      <c r="H32" s="53"/>
      <c r="I32" s="53"/>
      <c r="J32" s="53"/>
      <c r="K32" s="53"/>
      <c r="L32" s="53"/>
      <c r="M32" s="49"/>
      <c r="N32" s="49"/>
      <c r="O32" s="49"/>
      <c r="P32" s="49"/>
      <c r="Q32" s="51"/>
      <c r="R32" s="51"/>
      <c r="S32" s="51"/>
    </row>
    <row r="33" spans="1:19" ht="15" customHeight="1" thickBot="1" x14ac:dyDescent="0.35">
      <c r="A33" s="54"/>
      <c r="B33" s="11" t="s">
        <v>78</v>
      </c>
      <c r="C33" s="43"/>
      <c r="D33" s="43"/>
      <c r="E33" s="43"/>
      <c r="F33" s="43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51"/>
      <c r="R33" s="51"/>
      <c r="S33" s="51"/>
    </row>
    <row r="34" spans="1:19" ht="15" customHeight="1" x14ac:dyDescent="0.3">
      <c r="A34" s="54"/>
      <c r="B34" s="11" t="s">
        <v>76</v>
      </c>
      <c r="C34" s="42" t="s">
        <v>37</v>
      </c>
      <c r="D34" s="42"/>
      <c r="E34" s="42">
        <v>50077</v>
      </c>
      <c r="F34" s="42">
        <v>70427</v>
      </c>
      <c r="G34" s="46">
        <f t="shared" ref="G34" si="21">SUM(D34:F34)</f>
        <v>120504</v>
      </c>
      <c r="H34" s="53"/>
      <c r="I34" s="53"/>
      <c r="J34" s="53"/>
      <c r="K34" s="53"/>
      <c r="L34" s="53"/>
      <c r="M34" s="49"/>
      <c r="N34" s="49"/>
      <c r="O34" s="49"/>
      <c r="P34" s="49"/>
      <c r="Q34" s="51"/>
      <c r="R34" s="51"/>
      <c r="S34" s="51"/>
    </row>
    <row r="35" spans="1:19" ht="15" customHeight="1" thickBot="1" x14ac:dyDescent="0.35">
      <c r="A35" s="54"/>
      <c r="B35" s="11" t="s">
        <v>120</v>
      </c>
      <c r="C35" s="43"/>
      <c r="D35" s="43"/>
      <c r="E35" s="43"/>
      <c r="F35" s="43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51"/>
      <c r="R35" s="51"/>
      <c r="S35" s="51"/>
    </row>
    <row r="36" spans="1:19" ht="15" customHeight="1" x14ac:dyDescent="0.3">
      <c r="A36" s="54">
        <v>6</v>
      </c>
      <c r="B36" s="10" t="s">
        <v>121</v>
      </c>
      <c r="C36" s="42" t="s">
        <v>27</v>
      </c>
      <c r="D36" s="42">
        <v>54188</v>
      </c>
      <c r="E36" s="109"/>
      <c r="F36" s="109"/>
      <c r="G36" s="46">
        <f t="shared" ref="G36" si="22">SUM(D36:F36)</f>
        <v>54188</v>
      </c>
      <c r="H36" s="43">
        <f>SUM(G36:G40)</f>
        <v>54188</v>
      </c>
      <c r="I36" s="53">
        <v>286</v>
      </c>
      <c r="J36" s="53"/>
      <c r="K36" s="53"/>
      <c r="L36" s="53"/>
      <c r="M36" s="34">
        <f t="shared" ref="M36:O36" si="23">(100*D36)/$S$3</f>
        <v>60.208888888888886</v>
      </c>
      <c r="N36" s="34">
        <f t="shared" si="23"/>
        <v>0</v>
      </c>
      <c r="O36" s="34">
        <f t="shared" si="23"/>
        <v>0</v>
      </c>
      <c r="P36" s="34">
        <f t="shared" ref="P36" si="24">(H36*100)/$R$3</f>
        <v>20.069629629629631</v>
      </c>
      <c r="Q36" s="50" t="s">
        <v>33</v>
      </c>
      <c r="R36" s="50" t="s">
        <v>39</v>
      </c>
      <c r="S36" s="50" t="s">
        <v>39</v>
      </c>
    </row>
    <row r="37" spans="1:19" ht="15" customHeight="1" thickBot="1" x14ac:dyDescent="0.35">
      <c r="A37" s="54"/>
      <c r="B37" s="10" t="s">
        <v>122</v>
      </c>
      <c r="C37" s="43"/>
      <c r="D37" s="43"/>
      <c r="E37" s="110"/>
      <c r="F37" s="110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50"/>
      <c r="R37" s="50"/>
      <c r="S37" s="50"/>
    </row>
    <row r="38" spans="1:19" ht="15" customHeight="1" x14ac:dyDescent="0.3">
      <c r="A38" s="54"/>
      <c r="B38" s="11" t="s">
        <v>77</v>
      </c>
      <c r="C38" s="42"/>
      <c r="D38" s="42"/>
      <c r="E38" s="42"/>
      <c r="F38" s="42"/>
      <c r="G38" s="46">
        <f t="shared" ref="G38" si="25">SUM(D38:F38)</f>
        <v>0</v>
      </c>
      <c r="H38" s="53"/>
      <c r="I38" s="53"/>
      <c r="J38" s="53"/>
      <c r="K38" s="53"/>
      <c r="L38" s="53"/>
      <c r="M38" s="49"/>
      <c r="N38" s="49"/>
      <c r="O38" s="49"/>
      <c r="P38" s="49"/>
      <c r="Q38" s="51"/>
      <c r="R38" s="51"/>
      <c r="S38" s="51"/>
    </row>
    <row r="39" spans="1:19" ht="15" customHeight="1" thickBot="1" x14ac:dyDescent="0.35">
      <c r="A39" s="54"/>
      <c r="B39" s="11" t="s">
        <v>78</v>
      </c>
      <c r="C39" s="43"/>
      <c r="D39" s="43"/>
      <c r="E39" s="43"/>
      <c r="F39" s="43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51"/>
      <c r="R39" s="51"/>
      <c r="S39" s="51"/>
    </row>
    <row r="40" spans="1:19" ht="15" customHeight="1" x14ac:dyDescent="0.3">
      <c r="A40" s="54"/>
      <c r="B40" s="11" t="s">
        <v>76</v>
      </c>
      <c r="C40" s="42"/>
      <c r="D40" s="42"/>
      <c r="E40" s="42"/>
      <c r="F40" s="42"/>
      <c r="G40" s="46">
        <f t="shared" ref="G40" si="26"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51"/>
      <c r="R40" s="51"/>
      <c r="S40" s="51"/>
    </row>
    <row r="41" spans="1:19" ht="15" customHeight="1" thickBot="1" x14ac:dyDescent="0.35">
      <c r="A41" s="54"/>
      <c r="B41" s="11" t="s">
        <v>120</v>
      </c>
      <c r="C41" s="43"/>
      <c r="D41" s="43"/>
      <c r="E41" s="43"/>
      <c r="F41" s="43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51"/>
      <c r="R41" s="51"/>
      <c r="S41" s="51"/>
    </row>
    <row r="42" spans="1:19" ht="15" customHeight="1" x14ac:dyDescent="0.3">
      <c r="A42" s="54">
        <v>7</v>
      </c>
      <c r="B42" s="10" t="s">
        <v>121</v>
      </c>
      <c r="C42" s="42" t="s">
        <v>13</v>
      </c>
      <c r="D42" s="42">
        <v>40837</v>
      </c>
      <c r="E42" s="109"/>
      <c r="F42" s="109"/>
      <c r="G42" s="46">
        <f t="shared" ref="G42" si="27">SUM(D42:F42)</f>
        <v>40837</v>
      </c>
      <c r="H42" s="43">
        <f>SUM(G42:G46)</f>
        <v>40837</v>
      </c>
      <c r="I42" s="53">
        <v>221</v>
      </c>
      <c r="J42" s="53"/>
      <c r="K42" s="53"/>
      <c r="L42" s="53"/>
      <c r="M42" s="34">
        <f t="shared" ref="M42:O42" si="28">(100*D42)/$S$3</f>
        <v>45.374444444444443</v>
      </c>
      <c r="N42" s="34">
        <f t="shared" si="28"/>
        <v>0</v>
      </c>
      <c r="O42" s="34">
        <f t="shared" si="28"/>
        <v>0</v>
      </c>
      <c r="P42" s="34">
        <f>(H42*100)/$R$3</f>
        <v>15.124814814814815</v>
      </c>
      <c r="Q42" s="50" t="s">
        <v>34</v>
      </c>
      <c r="R42" s="50" t="s">
        <v>39</v>
      </c>
      <c r="S42" s="50" t="s">
        <v>39</v>
      </c>
    </row>
    <row r="43" spans="1:19" ht="15" customHeight="1" thickBot="1" x14ac:dyDescent="0.35">
      <c r="A43" s="54"/>
      <c r="B43" s="10" t="s">
        <v>122</v>
      </c>
      <c r="C43" s="43"/>
      <c r="D43" s="43"/>
      <c r="E43" s="110"/>
      <c r="F43" s="110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50"/>
      <c r="R43" s="50"/>
      <c r="S43" s="50"/>
    </row>
    <row r="44" spans="1:19" ht="15" customHeight="1" x14ac:dyDescent="0.3">
      <c r="A44" s="54"/>
      <c r="B44" s="11" t="s">
        <v>77</v>
      </c>
      <c r="C44" s="42"/>
      <c r="D44" s="42"/>
      <c r="E44" s="42"/>
      <c r="F44" s="42"/>
      <c r="G44" s="46">
        <f t="shared" ref="G44" si="29"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51"/>
      <c r="R44" s="51"/>
      <c r="S44" s="51"/>
    </row>
    <row r="45" spans="1:19" ht="15" customHeight="1" thickBot="1" x14ac:dyDescent="0.35">
      <c r="A45" s="54"/>
      <c r="B45" s="11" t="s">
        <v>78</v>
      </c>
      <c r="C45" s="43"/>
      <c r="D45" s="43"/>
      <c r="E45" s="43"/>
      <c r="F45" s="43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51"/>
      <c r="R45" s="51"/>
      <c r="S45" s="51"/>
    </row>
    <row r="46" spans="1:19" ht="15" customHeight="1" x14ac:dyDescent="0.3">
      <c r="A46" s="54"/>
      <c r="B46" s="11" t="s">
        <v>76</v>
      </c>
      <c r="C46" s="42"/>
      <c r="D46" s="42"/>
      <c r="E46" s="42"/>
      <c r="F46" s="42"/>
      <c r="G46" s="46">
        <f t="shared" ref="G46" si="30"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51"/>
      <c r="R46" s="51"/>
      <c r="S46" s="51"/>
    </row>
    <row r="47" spans="1:19" ht="15" customHeight="1" thickBot="1" x14ac:dyDescent="0.35">
      <c r="A47" s="54"/>
      <c r="B47" s="11" t="s">
        <v>120</v>
      </c>
      <c r="C47" s="47"/>
      <c r="D47" s="47"/>
      <c r="E47" s="47"/>
      <c r="F47" s="47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51"/>
      <c r="R47" s="51"/>
      <c r="S47" s="51"/>
    </row>
    <row r="48" spans="1:19" ht="15" thickBot="1" x14ac:dyDescent="0.35">
      <c r="C48" s="35" t="s">
        <v>23</v>
      </c>
      <c r="D48" s="37">
        <f>SUM(D6:D47)</f>
        <v>469135</v>
      </c>
      <c r="E48" s="37">
        <f>SUM(E6:E47)</f>
        <v>323674</v>
      </c>
      <c r="F48" s="37">
        <f>SUM(F6:F47)</f>
        <v>335005</v>
      </c>
      <c r="G48" s="37">
        <f>SUM(G6:G46)</f>
        <v>1127814</v>
      </c>
      <c r="H48" s="37">
        <f>SUM(H6:H47)</f>
        <v>1127814</v>
      </c>
    </row>
    <row r="49" spans="3:16" ht="15" thickBot="1" x14ac:dyDescent="0.35">
      <c r="C49" s="36"/>
      <c r="D49" s="38"/>
      <c r="E49" s="38"/>
      <c r="F49" s="38"/>
      <c r="G49" s="38"/>
      <c r="H49" s="38"/>
      <c r="J49" s="13" t="s">
        <v>61</v>
      </c>
      <c r="K49" s="13" t="s">
        <v>62</v>
      </c>
      <c r="L49" s="102" t="s">
        <v>63</v>
      </c>
      <c r="M49" s="103"/>
      <c r="N49" s="13" t="s">
        <v>62</v>
      </c>
      <c r="O49" s="13" t="s">
        <v>64</v>
      </c>
      <c r="P49" s="13" t="s">
        <v>62</v>
      </c>
    </row>
    <row r="50" spans="3:16" x14ac:dyDescent="0.3">
      <c r="J50" s="16">
        <v>6</v>
      </c>
      <c r="K50" s="17" t="s">
        <v>65</v>
      </c>
      <c r="L50" s="111">
        <v>6</v>
      </c>
      <c r="M50" s="111"/>
      <c r="N50" s="17" t="s">
        <v>109</v>
      </c>
      <c r="O50" s="16">
        <v>6</v>
      </c>
      <c r="P50" s="17" t="s">
        <v>109</v>
      </c>
    </row>
    <row r="51" spans="3:16" x14ac:dyDescent="0.3">
      <c r="J51" s="16">
        <v>7</v>
      </c>
      <c r="K51" s="17" t="s">
        <v>65</v>
      </c>
      <c r="L51" s="104">
        <v>7</v>
      </c>
      <c r="M51" s="104"/>
      <c r="N51" s="17" t="s">
        <v>109</v>
      </c>
      <c r="O51" s="16">
        <v>7</v>
      </c>
      <c r="P51" s="17" t="s">
        <v>109</v>
      </c>
    </row>
    <row r="52" spans="3:16" x14ac:dyDescent="0.3">
      <c r="J52" s="14"/>
      <c r="K52" s="14"/>
      <c r="L52" s="105"/>
      <c r="M52" s="105"/>
      <c r="N52" s="14"/>
      <c r="O52" s="14"/>
      <c r="P52" s="14"/>
    </row>
    <row r="53" spans="3:16" x14ac:dyDescent="0.3">
      <c r="J53" s="15"/>
      <c r="K53" s="15"/>
      <c r="L53" s="15"/>
      <c r="M53" s="15"/>
      <c r="N53" s="15"/>
      <c r="O53" s="15"/>
      <c r="P53" s="15"/>
    </row>
  </sheetData>
  <mergeCells count="219">
    <mergeCell ref="G38:G39"/>
    <mergeCell ref="G36:G37"/>
    <mergeCell ref="F36:F37"/>
    <mergeCell ref="E36:E37"/>
    <mergeCell ref="D36:D37"/>
    <mergeCell ref="C36:C37"/>
    <mergeCell ref="F34:F35"/>
    <mergeCell ref="D34:D35"/>
    <mergeCell ref="E40:E41"/>
    <mergeCell ref="D40:D41"/>
    <mergeCell ref="C40:C41"/>
    <mergeCell ref="C38:C39"/>
    <mergeCell ref="D38:D39"/>
    <mergeCell ref="E38:E39"/>
    <mergeCell ref="F38:F39"/>
    <mergeCell ref="G6:G7"/>
    <mergeCell ref="F6:F7"/>
    <mergeCell ref="E6:E7"/>
    <mergeCell ref="D6:D7"/>
    <mergeCell ref="C6:C7"/>
    <mergeCell ref="G16:G17"/>
    <mergeCell ref="F16:F17"/>
    <mergeCell ref="E16:E17"/>
    <mergeCell ref="D16:D17"/>
    <mergeCell ref="C16:C17"/>
    <mergeCell ref="C14:C15"/>
    <mergeCell ref="D14:D15"/>
    <mergeCell ref="E14:E15"/>
    <mergeCell ref="F14:F15"/>
    <mergeCell ref="G14:G15"/>
    <mergeCell ref="G12:G13"/>
    <mergeCell ref="F12:F13"/>
    <mergeCell ref="E12:E13"/>
    <mergeCell ref="D12:D13"/>
    <mergeCell ref="G10:G11"/>
    <mergeCell ref="F10:F11"/>
    <mergeCell ref="E10:E11"/>
    <mergeCell ref="D10:D11"/>
    <mergeCell ref="C10:C11"/>
    <mergeCell ref="C8:C9"/>
    <mergeCell ref="D8:D9"/>
    <mergeCell ref="E8:E9"/>
    <mergeCell ref="F8:F9"/>
    <mergeCell ref="G8:G9"/>
    <mergeCell ref="L50:M50"/>
    <mergeCell ref="L51:M51"/>
    <mergeCell ref="L52:M52"/>
    <mergeCell ref="K18:K23"/>
    <mergeCell ref="L18:L23"/>
    <mergeCell ref="E20:E21"/>
    <mergeCell ref="F20:F21"/>
    <mergeCell ref="G20:G21"/>
    <mergeCell ref="G18:G19"/>
    <mergeCell ref="F18:F19"/>
    <mergeCell ref="E18:E19"/>
    <mergeCell ref="I36:I41"/>
    <mergeCell ref="J36:J41"/>
    <mergeCell ref="G24:G25"/>
    <mergeCell ref="F24:F25"/>
    <mergeCell ref="E24:E25"/>
    <mergeCell ref="E32:E33"/>
    <mergeCell ref="F32:F33"/>
    <mergeCell ref="G32:G33"/>
    <mergeCell ref="E26:E27"/>
    <mergeCell ref="G30:G31"/>
    <mergeCell ref="F30:F31"/>
    <mergeCell ref="R42:R47"/>
    <mergeCell ref="C48:C49"/>
    <mergeCell ref="D48:D49"/>
    <mergeCell ref="E48:E49"/>
    <mergeCell ref="F48:F49"/>
    <mergeCell ref="G48:G49"/>
    <mergeCell ref="H48:H49"/>
    <mergeCell ref="M42:M47"/>
    <mergeCell ref="N42:N47"/>
    <mergeCell ref="O42:O47"/>
    <mergeCell ref="L49:M49"/>
    <mergeCell ref="G46:G47"/>
    <mergeCell ref="F46:F47"/>
    <mergeCell ref="E46:E47"/>
    <mergeCell ref="D46:D47"/>
    <mergeCell ref="D44:D45"/>
    <mergeCell ref="C46:C47"/>
    <mergeCell ref="E42:E43"/>
    <mergeCell ref="D42:D43"/>
    <mergeCell ref="E34:E35"/>
    <mergeCell ref="G34:G35"/>
    <mergeCell ref="C42:C43"/>
    <mergeCell ref="A36:A41"/>
    <mergeCell ref="H36:H41"/>
    <mergeCell ref="D18:D19"/>
    <mergeCell ref="C18:C19"/>
    <mergeCell ref="C28:C29"/>
    <mergeCell ref="D28:D29"/>
    <mergeCell ref="E28:E29"/>
    <mergeCell ref="F28:F29"/>
    <mergeCell ref="G28:G29"/>
    <mergeCell ref="D24:D25"/>
    <mergeCell ref="C24:C25"/>
    <mergeCell ref="C34:C35"/>
    <mergeCell ref="C32:C33"/>
    <mergeCell ref="D32:D33"/>
    <mergeCell ref="D26:D27"/>
    <mergeCell ref="C26:C27"/>
    <mergeCell ref="E30:E31"/>
    <mergeCell ref="D30:D31"/>
    <mergeCell ref="C30:C31"/>
    <mergeCell ref="G40:G41"/>
    <mergeCell ref="F40:F41"/>
    <mergeCell ref="G26:G27"/>
    <mergeCell ref="F26:F27"/>
    <mergeCell ref="Q36:Q41"/>
    <mergeCell ref="R36:R41"/>
    <mergeCell ref="S36:S41"/>
    <mergeCell ref="A42:A47"/>
    <mergeCell ref="H42:H47"/>
    <mergeCell ref="I42:I47"/>
    <mergeCell ref="J42:J47"/>
    <mergeCell ref="K42:K47"/>
    <mergeCell ref="L42:L47"/>
    <mergeCell ref="K36:K41"/>
    <mergeCell ref="L36:L41"/>
    <mergeCell ref="M36:M41"/>
    <mergeCell ref="N36:N41"/>
    <mergeCell ref="O36:O41"/>
    <mergeCell ref="P36:P41"/>
    <mergeCell ref="S42:S47"/>
    <mergeCell ref="P42:P47"/>
    <mergeCell ref="Q42:Q47"/>
    <mergeCell ref="G42:G43"/>
    <mergeCell ref="F42:F43"/>
    <mergeCell ref="C44:C45"/>
    <mergeCell ref="E44:E45"/>
    <mergeCell ref="F44:F45"/>
    <mergeCell ref="G44:G45"/>
    <mergeCell ref="O30:O35"/>
    <mergeCell ref="P30:P35"/>
    <mergeCell ref="Q30:Q35"/>
    <mergeCell ref="R30:R35"/>
    <mergeCell ref="S30:S35"/>
    <mergeCell ref="A24:A29"/>
    <mergeCell ref="H24:H29"/>
    <mergeCell ref="I24:I29"/>
    <mergeCell ref="J24:J29"/>
    <mergeCell ref="A30:A35"/>
    <mergeCell ref="H30:H35"/>
    <mergeCell ref="I30:I35"/>
    <mergeCell ref="J30:J35"/>
    <mergeCell ref="K30:K35"/>
    <mergeCell ref="L30:L35"/>
    <mergeCell ref="M30:M35"/>
    <mergeCell ref="N30:N35"/>
    <mergeCell ref="M24:M29"/>
    <mergeCell ref="N24:N29"/>
    <mergeCell ref="K24:K29"/>
    <mergeCell ref="L24:L29"/>
    <mergeCell ref="S24:S29"/>
    <mergeCell ref="O24:O29"/>
    <mergeCell ref="P24:P29"/>
    <mergeCell ref="P12:P17"/>
    <mergeCell ref="Q12:Q17"/>
    <mergeCell ref="R12:R17"/>
    <mergeCell ref="S12:S17"/>
    <mergeCell ref="A18:A23"/>
    <mergeCell ref="H18:H23"/>
    <mergeCell ref="I18:I23"/>
    <mergeCell ref="J18:J23"/>
    <mergeCell ref="Q18:Q23"/>
    <mergeCell ref="R18:R23"/>
    <mergeCell ref="S18:S23"/>
    <mergeCell ref="M18:M23"/>
    <mergeCell ref="N18:N23"/>
    <mergeCell ref="O18:O23"/>
    <mergeCell ref="P18:P23"/>
    <mergeCell ref="E22:E23"/>
    <mergeCell ref="G22:G23"/>
    <mergeCell ref="F22:F23"/>
    <mergeCell ref="D22:D23"/>
    <mergeCell ref="C22:C23"/>
    <mergeCell ref="C20:C21"/>
    <mergeCell ref="D20:D21"/>
    <mergeCell ref="C12:C13"/>
    <mergeCell ref="Q24:Q29"/>
    <mergeCell ref="R24:R29"/>
    <mergeCell ref="A6:A11"/>
    <mergeCell ref="H6:H11"/>
    <mergeCell ref="I6:I11"/>
    <mergeCell ref="J6:J11"/>
    <mergeCell ref="K6:K11"/>
    <mergeCell ref="L6:L11"/>
    <mergeCell ref="S6:S11"/>
    <mergeCell ref="A12:A17"/>
    <mergeCell ref="H12:H17"/>
    <mergeCell ref="I12:I17"/>
    <mergeCell ref="J12:J17"/>
    <mergeCell ref="K12:K17"/>
    <mergeCell ref="L12:L17"/>
    <mergeCell ref="M12:M17"/>
    <mergeCell ref="N12:N17"/>
    <mergeCell ref="M6:M11"/>
    <mergeCell ref="N6:N11"/>
    <mergeCell ref="O6:O11"/>
    <mergeCell ref="P6:P11"/>
    <mergeCell ref="Q6:Q11"/>
    <mergeCell ref="R6:R11"/>
    <mergeCell ref="O12:O17"/>
    <mergeCell ref="A1:C3"/>
    <mergeCell ref="D1:Q3"/>
    <mergeCell ref="R1:S1"/>
    <mergeCell ref="A4:A5"/>
    <mergeCell ref="B4:B5"/>
    <mergeCell ref="C4:C5"/>
    <mergeCell ref="D4:F4"/>
    <mergeCell ref="G4:G5"/>
    <mergeCell ref="H4:H5"/>
    <mergeCell ref="I4:K4"/>
    <mergeCell ref="L4:L5"/>
    <mergeCell ref="M4:P4"/>
    <mergeCell ref="Q4:S4"/>
  </mergeCells>
  <pageMargins left="0.19685039370078741" right="0.19685039370078741" top="0.19685039370078741" bottom="0.19685039370078741" header="0.31496062992125984" footer="0.31496062992125984"/>
  <pageSetup paperSize="8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35EE-95E8-464F-B6F8-E26510AAEDD3}">
  <dimension ref="A1:S53"/>
  <sheetViews>
    <sheetView zoomScaleNormal="100" workbookViewId="0">
      <selection activeCell="B6" sqref="B6:B47"/>
    </sheetView>
  </sheetViews>
  <sheetFormatPr defaultRowHeight="14.4" x14ac:dyDescent="0.3"/>
  <cols>
    <col min="1" max="1" width="7.88671875" customWidth="1"/>
    <col min="2" max="2" width="13.1093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9" width="20.77734375" customWidth="1"/>
  </cols>
  <sheetData>
    <row r="1" spans="1:19" ht="15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9" t="s">
        <v>47</v>
      </c>
      <c r="S1" s="90"/>
    </row>
    <row r="2" spans="1:19" ht="15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7" t="s">
        <v>19</v>
      </c>
      <c r="S2" s="7" t="s">
        <v>20</v>
      </c>
    </row>
    <row r="3" spans="1:19" ht="15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8">
        <v>270000</v>
      </c>
      <c r="S3" s="6">
        <v>90000</v>
      </c>
    </row>
    <row r="4" spans="1:19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6" t="s">
        <v>11</v>
      </c>
      <c r="R4" s="67"/>
      <c r="S4" s="68"/>
    </row>
    <row r="5" spans="1:19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5" t="s">
        <v>10</v>
      </c>
      <c r="Q5" s="1" t="s">
        <v>4</v>
      </c>
      <c r="R5" s="2" t="s">
        <v>5</v>
      </c>
      <c r="S5" s="3" t="s">
        <v>6</v>
      </c>
    </row>
    <row r="6" spans="1:19" ht="15" customHeight="1" x14ac:dyDescent="0.3">
      <c r="A6" s="59">
        <v>1</v>
      </c>
      <c r="B6" s="10" t="s">
        <v>121</v>
      </c>
      <c r="C6" s="46" t="s">
        <v>12</v>
      </c>
      <c r="D6" s="70">
        <v>80013</v>
      </c>
      <c r="E6" s="70">
        <v>72009</v>
      </c>
      <c r="F6" s="70">
        <v>71729</v>
      </c>
      <c r="G6" s="46">
        <f>SUM(D6:F6)</f>
        <v>223751</v>
      </c>
      <c r="H6" s="43">
        <f>SUM(G6:G10)</f>
        <v>223751</v>
      </c>
      <c r="I6" s="43">
        <v>410</v>
      </c>
      <c r="J6" s="43">
        <v>381</v>
      </c>
      <c r="K6" s="43">
        <v>377</v>
      </c>
      <c r="L6" s="43"/>
      <c r="M6" s="34">
        <f>(100*D6)/$S$3</f>
        <v>88.903333333333336</v>
      </c>
      <c r="N6" s="34">
        <f t="shared" ref="N6:O6" si="0">(100*E6)/$S$3</f>
        <v>80.010000000000005</v>
      </c>
      <c r="O6" s="34">
        <f t="shared" si="0"/>
        <v>79.698888888888888</v>
      </c>
      <c r="P6" s="34">
        <f>(H6*100)/$R$3</f>
        <v>82.870740740740743</v>
      </c>
      <c r="Q6" s="50" t="s">
        <v>42</v>
      </c>
      <c r="R6" s="106" t="s">
        <v>45</v>
      </c>
      <c r="S6" s="106" t="s">
        <v>45</v>
      </c>
    </row>
    <row r="7" spans="1:19" ht="15" customHeight="1" thickBot="1" x14ac:dyDescent="0.35">
      <c r="A7" s="59"/>
      <c r="B7" s="10" t="s">
        <v>122</v>
      </c>
      <c r="C7" s="43"/>
      <c r="D7" s="45"/>
      <c r="E7" s="45"/>
      <c r="F7" s="45"/>
      <c r="G7" s="43"/>
      <c r="H7" s="43"/>
      <c r="I7" s="43"/>
      <c r="J7" s="43"/>
      <c r="K7" s="43"/>
      <c r="L7" s="43"/>
      <c r="M7" s="34"/>
      <c r="N7" s="34"/>
      <c r="O7" s="34"/>
      <c r="P7" s="34"/>
      <c r="Q7" s="50"/>
      <c r="R7" s="107"/>
      <c r="S7" s="107"/>
    </row>
    <row r="8" spans="1:19" ht="15" customHeight="1" x14ac:dyDescent="0.3">
      <c r="A8" s="54"/>
      <c r="B8" s="11" t="s">
        <v>77</v>
      </c>
      <c r="C8" s="42"/>
      <c r="D8" s="44"/>
      <c r="E8" s="44"/>
      <c r="F8" s="44"/>
      <c r="G8" s="46">
        <f t="shared" ref="G8" si="1">SUM(D8:F8)</f>
        <v>0</v>
      </c>
      <c r="H8" s="53"/>
      <c r="I8" s="53"/>
      <c r="J8" s="53"/>
      <c r="K8" s="53"/>
      <c r="L8" s="53"/>
      <c r="M8" s="49"/>
      <c r="N8" s="49"/>
      <c r="O8" s="49"/>
      <c r="P8" s="49"/>
      <c r="Q8" s="51"/>
      <c r="R8" s="107"/>
      <c r="S8" s="107"/>
    </row>
    <row r="9" spans="1:19" ht="15" customHeight="1" thickBot="1" x14ac:dyDescent="0.35">
      <c r="A9" s="54"/>
      <c r="B9" s="11" t="s">
        <v>78</v>
      </c>
      <c r="C9" s="43"/>
      <c r="D9" s="45"/>
      <c r="E9" s="45"/>
      <c r="F9" s="45"/>
      <c r="G9" s="43"/>
      <c r="H9" s="53"/>
      <c r="I9" s="53"/>
      <c r="J9" s="53"/>
      <c r="K9" s="53"/>
      <c r="L9" s="53"/>
      <c r="M9" s="49"/>
      <c r="N9" s="49"/>
      <c r="O9" s="49"/>
      <c r="P9" s="49"/>
      <c r="Q9" s="51"/>
      <c r="R9" s="107"/>
      <c r="S9" s="107"/>
    </row>
    <row r="10" spans="1:19" ht="15" customHeight="1" x14ac:dyDescent="0.3">
      <c r="A10" s="54"/>
      <c r="B10" s="11" t="s">
        <v>76</v>
      </c>
      <c r="C10" s="42"/>
      <c r="D10" s="44"/>
      <c r="E10" s="44"/>
      <c r="F10" s="44"/>
      <c r="G10" s="46">
        <f t="shared" ref="G10" si="2">SUM(D10:F10)</f>
        <v>0</v>
      </c>
      <c r="H10" s="53"/>
      <c r="I10" s="53"/>
      <c r="J10" s="53"/>
      <c r="K10" s="53"/>
      <c r="L10" s="53"/>
      <c r="M10" s="49"/>
      <c r="N10" s="49"/>
      <c r="O10" s="49"/>
      <c r="P10" s="49"/>
      <c r="Q10" s="51"/>
      <c r="R10" s="107"/>
      <c r="S10" s="107"/>
    </row>
    <row r="11" spans="1:19" ht="15" customHeight="1" thickBot="1" x14ac:dyDescent="0.35">
      <c r="A11" s="54"/>
      <c r="B11" s="11" t="s">
        <v>120</v>
      </c>
      <c r="C11" s="43"/>
      <c r="D11" s="45"/>
      <c r="E11" s="45"/>
      <c r="F11" s="45"/>
      <c r="G11" s="43"/>
      <c r="H11" s="53"/>
      <c r="I11" s="53"/>
      <c r="J11" s="53"/>
      <c r="K11" s="53"/>
      <c r="L11" s="53"/>
      <c r="M11" s="49"/>
      <c r="N11" s="49"/>
      <c r="O11" s="49"/>
      <c r="P11" s="49"/>
      <c r="Q11" s="51"/>
      <c r="R11" s="50"/>
      <c r="S11" s="50"/>
    </row>
    <row r="12" spans="1:19" ht="15" customHeight="1" x14ac:dyDescent="0.3">
      <c r="A12" s="54">
        <v>2</v>
      </c>
      <c r="B12" s="10" t="s">
        <v>121</v>
      </c>
      <c r="C12" s="42" t="s">
        <v>12</v>
      </c>
      <c r="D12" s="44">
        <v>77504</v>
      </c>
      <c r="E12" s="44">
        <v>71369</v>
      </c>
      <c r="F12" s="44">
        <v>39913</v>
      </c>
      <c r="G12" s="46">
        <f t="shared" ref="G12" si="3">SUM(D12:F12)</f>
        <v>188786</v>
      </c>
      <c r="H12" s="43">
        <f>SUM(G12:G16)</f>
        <v>188786</v>
      </c>
      <c r="I12" s="53">
        <v>428</v>
      </c>
      <c r="J12" s="53">
        <v>381</v>
      </c>
      <c r="K12" s="53">
        <v>224</v>
      </c>
      <c r="L12" s="53"/>
      <c r="M12" s="34">
        <f>(100*D12)/$S$3</f>
        <v>86.115555555555559</v>
      </c>
      <c r="N12" s="34">
        <f t="shared" ref="N12:O12" si="4">(100*E12)/$S$3</f>
        <v>79.298888888888882</v>
      </c>
      <c r="O12" s="34">
        <f t="shared" si="4"/>
        <v>44.347777777777779</v>
      </c>
      <c r="P12" s="34">
        <f>(H12*100)/$R$3</f>
        <v>69.92074074074074</v>
      </c>
      <c r="Q12" s="50" t="s">
        <v>42</v>
      </c>
      <c r="R12" s="108" t="s">
        <v>45</v>
      </c>
      <c r="S12" s="50" t="s">
        <v>46</v>
      </c>
    </row>
    <row r="13" spans="1:19" ht="15" customHeight="1" thickBot="1" x14ac:dyDescent="0.35">
      <c r="A13" s="54"/>
      <c r="B13" s="10" t="s">
        <v>122</v>
      </c>
      <c r="C13" s="43"/>
      <c r="D13" s="45"/>
      <c r="E13" s="45"/>
      <c r="F13" s="45"/>
      <c r="G13" s="43"/>
      <c r="H13" s="43"/>
      <c r="I13" s="53"/>
      <c r="J13" s="53"/>
      <c r="K13" s="53"/>
      <c r="L13" s="53"/>
      <c r="M13" s="34"/>
      <c r="N13" s="34"/>
      <c r="O13" s="34"/>
      <c r="P13" s="34"/>
      <c r="Q13" s="50"/>
      <c r="R13" s="107"/>
      <c r="S13" s="50"/>
    </row>
    <row r="14" spans="1:19" ht="15" customHeight="1" x14ac:dyDescent="0.3">
      <c r="A14" s="54"/>
      <c r="B14" s="11" t="s">
        <v>77</v>
      </c>
      <c r="C14" s="42"/>
      <c r="D14" s="44"/>
      <c r="E14" s="44"/>
      <c r="F14" s="44"/>
      <c r="G14" s="46">
        <f t="shared" ref="G14" si="5">SUM(D14:F14)</f>
        <v>0</v>
      </c>
      <c r="H14" s="53"/>
      <c r="I14" s="53"/>
      <c r="J14" s="53"/>
      <c r="K14" s="53"/>
      <c r="L14" s="53"/>
      <c r="M14" s="49"/>
      <c r="N14" s="49"/>
      <c r="O14" s="49"/>
      <c r="P14" s="49"/>
      <c r="Q14" s="51"/>
      <c r="R14" s="107"/>
      <c r="S14" s="51"/>
    </row>
    <row r="15" spans="1:19" ht="15" customHeight="1" thickBot="1" x14ac:dyDescent="0.35">
      <c r="A15" s="54"/>
      <c r="B15" s="11" t="s">
        <v>78</v>
      </c>
      <c r="C15" s="43"/>
      <c r="D15" s="45"/>
      <c r="E15" s="45"/>
      <c r="F15" s="45"/>
      <c r="G15" s="43"/>
      <c r="H15" s="53"/>
      <c r="I15" s="53"/>
      <c r="J15" s="53"/>
      <c r="K15" s="53"/>
      <c r="L15" s="53"/>
      <c r="M15" s="49"/>
      <c r="N15" s="49"/>
      <c r="O15" s="49"/>
      <c r="P15" s="49"/>
      <c r="Q15" s="51"/>
      <c r="R15" s="107"/>
      <c r="S15" s="51"/>
    </row>
    <row r="16" spans="1:19" ht="15" customHeight="1" x14ac:dyDescent="0.3">
      <c r="A16" s="54"/>
      <c r="B16" s="11" t="s">
        <v>76</v>
      </c>
      <c r="C16" s="42"/>
      <c r="D16" s="44"/>
      <c r="E16" s="44"/>
      <c r="F16" s="44"/>
      <c r="G16" s="46">
        <f t="shared" ref="G16" si="6">SUM(D16:F16)</f>
        <v>0</v>
      </c>
      <c r="H16" s="53"/>
      <c r="I16" s="53"/>
      <c r="J16" s="53"/>
      <c r="K16" s="53"/>
      <c r="L16" s="53"/>
      <c r="M16" s="49"/>
      <c r="N16" s="49"/>
      <c r="O16" s="49"/>
      <c r="P16" s="49"/>
      <c r="Q16" s="51"/>
      <c r="R16" s="107"/>
      <c r="S16" s="51"/>
    </row>
    <row r="17" spans="1:19" ht="15" customHeight="1" thickBot="1" x14ac:dyDescent="0.35">
      <c r="A17" s="54"/>
      <c r="B17" s="11" t="s">
        <v>120</v>
      </c>
      <c r="C17" s="43"/>
      <c r="D17" s="45"/>
      <c r="E17" s="45"/>
      <c r="F17" s="45"/>
      <c r="G17" s="43"/>
      <c r="H17" s="53"/>
      <c r="I17" s="53"/>
      <c r="J17" s="53"/>
      <c r="K17" s="53"/>
      <c r="L17" s="53"/>
      <c r="M17" s="49"/>
      <c r="N17" s="49"/>
      <c r="O17" s="49"/>
      <c r="P17" s="49"/>
      <c r="Q17" s="51"/>
      <c r="R17" s="50"/>
      <c r="S17" s="51"/>
    </row>
    <row r="18" spans="1:19" ht="15" customHeight="1" x14ac:dyDescent="0.3">
      <c r="A18" s="54">
        <v>3</v>
      </c>
      <c r="B18" s="10" t="s">
        <v>121</v>
      </c>
      <c r="C18" s="42" t="s">
        <v>12</v>
      </c>
      <c r="D18" s="44">
        <v>81088</v>
      </c>
      <c r="E18" s="44">
        <v>76341</v>
      </c>
      <c r="F18" s="44">
        <v>73316</v>
      </c>
      <c r="G18" s="46">
        <f t="shared" ref="G18" si="7">SUM(D18:F18)</f>
        <v>230745</v>
      </c>
      <c r="H18" s="43">
        <f>SUM(G18:G22)</f>
        <v>230745</v>
      </c>
      <c r="I18" s="53"/>
      <c r="J18" s="53"/>
      <c r="K18" s="53"/>
      <c r="L18" s="53"/>
      <c r="M18" s="34">
        <f t="shared" ref="M18:O18" si="8">(100*D18)/$S$3</f>
        <v>90.097777777777779</v>
      </c>
      <c r="N18" s="34">
        <f t="shared" si="8"/>
        <v>84.823333333333338</v>
      </c>
      <c r="O18" s="34">
        <f t="shared" si="8"/>
        <v>81.462222222222223</v>
      </c>
      <c r="P18" s="34">
        <f t="shared" ref="P18" si="9">(H18*100)/$R$3</f>
        <v>85.461111111111109</v>
      </c>
      <c r="Q18" s="50" t="s">
        <v>42</v>
      </c>
      <c r="R18" s="108" t="s">
        <v>45</v>
      </c>
      <c r="S18" s="106" t="s">
        <v>45</v>
      </c>
    </row>
    <row r="19" spans="1:19" ht="15" customHeight="1" thickBot="1" x14ac:dyDescent="0.35">
      <c r="A19" s="54"/>
      <c r="B19" s="10" t="s">
        <v>122</v>
      </c>
      <c r="C19" s="43"/>
      <c r="D19" s="45"/>
      <c r="E19" s="45"/>
      <c r="F19" s="45"/>
      <c r="G19" s="43"/>
      <c r="H19" s="43"/>
      <c r="I19" s="53"/>
      <c r="J19" s="53"/>
      <c r="K19" s="53"/>
      <c r="L19" s="53"/>
      <c r="M19" s="34"/>
      <c r="N19" s="34"/>
      <c r="O19" s="34"/>
      <c r="P19" s="34"/>
      <c r="Q19" s="50"/>
      <c r="R19" s="107"/>
      <c r="S19" s="107"/>
    </row>
    <row r="20" spans="1:19" ht="15" customHeight="1" x14ac:dyDescent="0.3">
      <c r="A20" s="54"/>
      <c r="B20" s="11" t="s">
        <v>77</v>
      </c>
      <c r="C20" s="42"/>
      <c r="D20" s="44"/>
      <c r="E20" s="44"/>
      <c r="F20" s="44"/>
      <c r="G20" s="46">
        <f t="shared" ref="G20" si="10">SUM(D20:F20)</f>
        <v>0</v>
      </c>
      <c r="H20" s="53"/>
      <c r="I20" s="53"/>
      <c r="J20" s="53"/>
      <c r="K20" s="53"/>
      <c r="L20" s="53"/>
      <c r="M20" s="49"/>
      <c r="N20" s="49"/>
      <c r="O20" s="49"/>
      <c r="P20" s="49"/>
      <c r="Q20" s="51"/>
      <c r="R20" s="107"/>
      <c r="S20" s="107"/>
    </row>
    <row r="21" spans="1:19" ht="15" customHeight="1" thickBot="1" x14ac:dyDescent="0.35">
      <c r="A21" s="54"/>
      <c r="B21" s="11" t="s">
        <v>78</v>
      </c>
      <c r="C21" s="43"/>
      <c r="D21" s="45"/>
      <c r="E21" s="45"/>
      <c r="F21" s="45"/>
      <c r="G21" s="43"/>
      <c r="H21" s="53"/>
      <c r="I21" s="53"/>
      <c r="J21" s="53"/>
      <c r="K21" s="53"/>
      <c r="L21" s="53"/>
      <c r="M21" s="49"/>
      <c r="N21" s="49"/>
      <c r="O21" s="49"/>
      <c r="P21" s="49"/>
      <c r="Q21" s="51"/>
      <c r="R21" s="107"/>
      <c r="S21" s="107"/>
    </row>
    <row r="22" spans="1:19" ht="15" customHeight="1" x14ac:dyDescent="0.3">
      <c r="A22" s="54"/>
      <c r="B22" s="11" t="s">
        <v>76</v>
      </c>
      <c r="C22" s="42"/>
      <c r="D22" s="44"/>
      <c r="E22" s="44"/>
      <c r="F22" s="44"/>
      <c r="G22" s="46">
        <f t="shared" ref="G22" si="11">SUM(D22:F22)</f>
        <v>0</v>
      </c>
      <c r="H22" s="53"/>
      <c r="I22" s="53"/>
      <c r="J22" s="53"/>
      <c r="K22" s="53"/>
      <c r="L22" s="53"/>
      <c r="M22" s="49"/>
      <c r="N22" s="49"/>
      <c r="O22" s="49"/>
      <c r="P22" s="49"/>
      <c r="Q22" s="51"/>
      <c r="R22" s="107"/>
      <c r="S22" s="107"/>
    </row>
    <row r="23" spans="1:19" ht="15" customHeight="1" thickBot="1" x14ac:dyDescent="0.35">
      <c r="A23" s="54"/>
      <c r="B23" s="11" t="s">
        <v>120</v>
      </c>
      <c r="C23" s="43"/>
      <c r="D23" s="45"/>
      <c r="E23" s="45"/>
      <c r="F23" s="45"/>
      <c r="G23" s="43"/>
      <c r="H23" s="53"/>
      <c r="I23" s="53"/>
      <c r="J23" s="53"/>
      <c r="K23" s="53"/>
      <c r="L23" s="53"/>
      <c r="M23" s="49"/>
      <c r="N23" s="49"/>
      <c r="O23" s="49"/>
      <c r="P23" s="49"/>
      <c r="Q23" s="51"/>
      <c r="R23" s="50"/>
      <c r="S23" s="50"/>
    </row>
    <row r="24" spans="1:19" ht="15" customHeight="1" x14ac:dyDescent="0.3">
      <c r="A24" s="54">
        <v>4</v>
      </c>
      <c r="B24" s="10" t="s">
        <v>121</v>
      </c>
      <c r="C24" s="42" t="s">
        <v>12</v>
      </c>
      <c r="D24" s="44"/>
      <c r="E24" s="44"/>
      <c r="F24" s="44"/>
      <c r="G24" s="46">
        <f t="shared" ref="G24" si="12">SUM(D24:F24)</f>
        <v>0</v>
      </c>
      <c r="H24" s="43">
        <f>SUM(G24:G28)</f>
        <v>223311</v>
      </c>
      <c r="I24" s="53">
        <v>421</v>
      </c>
      <c r="J24" s="53">
        <v>372</v>
      </c>
      <c r="K24" s="53"/>
      <c r="L24" s="53"/>
      <c r="M24" s="34">
        <f t="shared" ref="M24:O24" si="13">(100*D24)/$S$3</f>
        <v>0</v>
      </c>
      <c r="N24" s="34">
        <f t="shared" si="13"/>
        <v>0</v>
      </c>
      <c r="O24" s="34">
        <f t="shared" si="13"/>
        <v>0</v>
      </c>
      <c r="P24" s="34">
        <f t="shared" ref="P24" si="14">(H24*100)/$R$3</f>
        <v>82.707777777777778</v>
      </c>
      <c r="Q24" s="50" t="s">
        <v>43</v>
      </c>
      <c r="R24" s="50" t="s">
        <v>43</v>
      </c>
      <c r="S24" s="106" t="s">
        <v>45</v>
      </c>
    </row>
    <row r="25" spans="1:19" ht="15" customHeight="1" thickBot="1" x14ac:dyDescent="0.35">
      <c r="A25" s="54"/>
      <c r="B25" s="10" t="s">
        <v>122</v>
      </c>
      <c r="C25" s="43"/>
      <c r="D25" s="45"/>
      <c r="E25" s="45"/>
      <c r="F25" s="45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50"/>
      <c r="R25" s="50"/>
      <c r="S25" s="107"/>
    </row>
    <row r="26" spans="1:19" ht="15" customHeight="1" x14ac:dyDescent="0.3">
      <c r="A26" s="54"/>
      <c r="B26" s="11" t="s">
        <v>77</v>
      </c>
      <c r="C26" s="42" t="s">
        <v>25</v>
      </c>
      <c r="D26" s="44"/>
      <c r="E26" s="44"/>
      <c r="F26" s="44"/>
      <c r="G26" s="46">
        <f t="shared" ref="G26" si="15">SUM(D26:F26)</f>
        <v>0</v>
      </c>
      <c r="H26" s="53"/>
      <c r="I26" s="53"/>
      <c r="J26" s="53"/>
      <c r="K26" s="53"/>
      <c r="L26" s="53"/>
      <c r="M26" s="49"/>
      <c r="N26" s="49"/>
      <c r="O26" s="49"/>
      <c r="P26" s="49"/>
      <c r="Q26" s="51"/>
      <c r="R26" s="51"/>
      <c r="S26" s="107"/>
    </row>
    <row r="27" spans="1:19" ht="15" customHeight="1" thickBot="1" x14ac:dyDescent="0.35">
      <c r="A27" s="54"/>
      <c r="B27" s="11" t="s">
        <v>78</v>
      </c>
      <c r="C27" s="43"/>
      <c r="D27" s="45"/>
      <c r="E27" s="45"/>
      <c r="F27" s="45"/>
      <c r="G27" s="43"/>
      <c r="H27" s="53"/>
      <c r="I27" s="53"/>
      <c r="J27" s="53"/>
      <c r="K27" s="53"/>
      <c r="L27" s="53"/>
      <c r="M27" s="49"/>
      <c r="N27" s="49"/>
      <c r="O27" s="49"/>
      <c r="P27" s="49"/>
      <c r="Q27" s="51"/>
      <c r="R27" s="51"/>
      <c r="S27" s="107"/>
    </row>
    <row r="28" spans="1:19" ht="15" customHeight="1" x14ac:dyDescent="0.3">
      <c r="A28" s="54"/>
      <c r="B28" s="11" t="s">
        <v>76</v>
      </c>
      <c r="C28" s="42" t="s">
        <v>37</v>
      </c>
      <c r="D28" s="44">
        <v>78715</v>
      </c>
      <c r="E28" s="44">
        <v>73454</v>
      </c>
      <c r="F28" s="44">
        <v>71142</v>
      </c>
      <c r="G28" s="46">
        <f t="shared" ref="G28" si="16">SUM(D28:F28)</f>
        <v>223311</v>
      </c>
      <c r="H28" s="53"/>
      <c r="I28" s="53"/>
      <c r="J28" s="53"/>
      <c r="K28" s="53"/>
      <c r="L28" s="53"/>
      <c r="M28" s="49"/>
      <c r="N28" s="49"/>
      <c r="O28" s="49"/>
      <c r="P28" s="49"/>
      <c r="Q28" s="51"/>
      <c r="R28" s="51"/>
      <c r="S28" s="107"/>
    </row>
    <row r="29" spans="1:19" ht="15" customHeight="1" thickBot="1" x14ac:dyDescent="0.35">
      <c r="A29" s="54"/>
      <c r="B29" s="11" t="s">
        <v>120</v>
      </c>
      <c r="C29" s="43"/>
      <c r="D29" s="45"/>
      <c r="E29" s="45"/>
      <c r="F29" s="45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51"/>
      <c r="R29" s="51"/>
      <c r="S29" s="50"/>
    </row>
    <row r="30" spans="1:19" ht="15" customHeight="1" x14ac:dyDescent="0.3">
      <c r="A30" s="54">
        <v>5</v>
      </c>
      <c r="B30" s="10" t="s">
        <v>121</v>
      </c>
      <c r="C30" s="42" t="s">
        <v>12</v>
      </c>
      <c r="D30" s="44"/>
      <c r="E30" s="44"/>
      <c r="F30" s="44"/>
      <c r="G30" s="46">
        <f t="shared" ref="G30" si="17">SUM(D30:F30)</f>
        <v>0</v>
      </c>
      <c r="H30" s="43">
        <f>SUM(G30:G34)</f>
        <v>233067</v>
      </c>
      <c r="I30" s="53">
        <v>432</v>
      </c>
      <c r="J30" s="53"/>
      <c r="K30" s="53">
        <v>375</v>
      </c>
      <c r="L30" s="53"/>
      <c r="M30" s="34">
        <f t="shared" ref="M30:O30" si="18">(100*D30)/$S$3</f>
        <v>0</v>
      </c>
      <c r="N30" s="34">
        <f t="shared" si="18"/>
        <v>0</v>
      </c>
      <c r="O30" s="34">
        <f t="shared" si="18"/>
        <v>0</v>
      </c>
      <c r="P30" s="34">
        <f t="shared" ref="P30" si="19">(H30*100)/$R$3</f>
        <v>86.321111111111108</v>
      </c>
      <c r="Q30" s="50" t="s">
        <v>44</v>
      </c>
      <c r="R30" s="108" t="s">
        <v>45</v>
      </c>
      <c r="S30" s="106" t="s">
        <v>45</v>
      </c>
    </row>
    <row r="31" spans="1:19" ht="15" customHeight="1" thickBot="1" x14ac:dyDescent="0.35">
      <c r="A31" s="54"/>
      <c r="B31" s="10" t="s">
        <v>122</v>
      </c>
      <c r="C31" s="43"/>
      <c r="D31" s="45"/>
      <c r="E31" s="45"/>
      <c r="F31" s="45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50"/>
      <c r="R31" s="107"/>
      <c r="S31" s="107"/>
    </row>
    <row r="32" spans="1:19" ht="15" customHeight="1" x14ac:dyDescent="0.3">
      <c r="A32" s="54"/>
      <c r="B32" s="11" t="s">
        <v>77</v>
      </c>
      <c r="C32" s="42" t="s">
        <v>25</v>
      </c>
      <c r="D32" s="44"/>
      <c r="E32" s="44"/>
      <c r="F32" s="44"/>
      <c r="G32" s="46">
        <f t="shared" ref="G32" si="20">SUM(D32:F32)</f>
        <v>0</v>
      </c>
      <c r="H32" s="53"/>
      <c r="I32" s="53"/>
      <c r="J32" s="53"/>
      <c r="K32" s="53"/>
      <c r="L32" s="53"/>
      <c r="M32" s="49"/>
      <c r="N32" s="49"/>
      <c r="O32" s="49"/>
      <c r="P32" s="49"/>
      <c r="Q32" s="51"/>
      <c r="R32" s="107"/>
      <c r="S32" s="107"/>
    </row>
    <row r="33" spans="1:19" ht="15" customHeight="1" thickBot="1" x14ac:dyDescent="0.35">
      <c r="A33" s="54"/>
      <c r="B33" s="11" t="s">
        <v>78</v>
      </c>
      <c r="C33" s="43"/>
      <c r="D33" s="45"/>
      <c r="E33" s="45"/>
      <c r="F33" s="45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51"/>
      <c r="R33" s="107"/>
      <c r="S33" s="107"/>
    </row>
    <row r="34" spans="1:19" ht="15" customHeight="1" x14ac:dyDescent="0.3">
      <c r="A34" s="54"/>
      <c r="B34" s="11" t="s">
        <v>76</v>
      </c>
      <c r="C34" s="42" t="s">
        <v>37</v>
      </c>
      <c r="D34" s="44">
        <v>83208</v>
      </c>
      <c r="E34" s="44">
        <v>76007</v>
      </c>
      <c r="F34" s="44">
        <v>73852</v>
      </c>
      <c r="G34" s="46">
        <f t="shared" ref="G34" si="21">SUM(D34:F34)</f>
        <v>233067</v>
      </c>
      <c r="H34" s="53"/>
      <c r="I34" s="53"/>
      <c r="J34" s="53"/>
      <c r="K34" s="53"/>
      <c r="L34" s="53"/>
      <c r="M34" s="49"/>
      <c r="N34" s="49"/>
      <c r="O34" s="49"/>
      <c r="P34" s="49"/>
      <c r="Q34" s="51"/>
      <c r="R34" s="107"/>
      <c r="S34" s="107"/>
    </row>
    <row r="35" spans="1:19" ht="15" customHeight="1" thickBot="1" x14ac:dyDescent="0.35">
      <c r="A35" s="54"/>
      <c r="B35" s="11" t="s">
        <v>120</v>
      </c>
      <c r="C35" s="43"/>
      <c r="D35" s="45"/>
      <c r="E35" s="45"/>
      <c r="F35" s="45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51"/>
      <c r="R35" s="50"/>
      <c r="S35" s="50"/>
    </row>
    <row r="36" spans="1:19" ht="15" customHeight="1" x14ac:dyDescent="0.3">
      <c r="A36" s="54">
        <v>6</v>
      </c>
      <c r="B36" s="10" t="s">
        <v>121</v>
      </c>
      <c r="C36" s="42" t="s">
        <v>27</v>
      </c>
      <c r="D36" s="44">
        <v>48176</v>
      </c>
      <c r="E36" s="44">
        <v>77691</v>
      </c>
      <c r="F36" s="44">
        <v>74143</v>
      </c>
      <c r="G36" s="46">
        <f t="shared" ref="G36" si="22">SUM(D36:F36)</f>
        <v>200010</v>
      </c>
      <c r="H36" s="43">
        <f>SUM(G36:G40)</f>
        <v>200010</v>
      </c>
      <c r="I36" s="53">
        <v>380</v>
      </c>
      <c r="J36" s="53"/>
      <c r="K36" s="53">
        <v>379</v>
      </c>
      <c r="L36" s="53"/>
      <c r="M36" s="34">
        <f t="shared" ref="M36:O36" si="23">(100*D36)/$S$3</f>
        <v>53.528888888888886</v>
      </c>
      <c r="N36" s="34">
        <f t="shared" si="23"/>
        <v>86.323333333333338</v>
      </c>
      <c r="O36" s="34">
        <f t="shared" si="23"/>
        <v>82.38111111111111</v>
      </c>
      <c r="P36" s="34">
        <f t="shared" ref="P36" si="24">(H36*100)/$R$3</f>
        <v>74.077777777777783</v>
      </c>
      <c r="Q36" s="50" t="s">
        <v>41</v>
      </c>
      <c r="R36" s="50" t="s">
        <v>44</v>
      </c>
      <c r="S36" s="106" t="s">
        <v>45</v>
      </c>
    </row>
    <row r="37" spans="1:19" ht="15" customHeight="1" thickBot="1" x14ac:dyDescent="0.35">
      <c r="A37" s="54"/>
      <c r="B37" s="10" t="s">
        <v>122</v>
      </c>
      <c r="C37" s="43"/>
      <c r="D37" s="45"/>
      <c r="E37" s="45"/>
      <c r="F37" s="45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50"/>
      <c r="R37" s="50"/>
      <c r="S37" s="107"/>
    </row>
    <row r="38" spans="1:19" ht="15" customHeight="1" x14ac:dyDescent="0.3">
      <c r="A38" s="54"/>
      <c r="B38" s="11" t="s">
        <v>77</v>
      </c>
      <c r="C38" s="42"/>
      <c r="D38" s="44"/>
      <c r="E38" s="44"/>
      <c r="F38" s="44"/>
      <c r="G38" s="46">
        <f t="shared" ref="G38" si="25">SUM(D38:F38)</f>
        <v>0</v>
      </c>
      <c r="H38" s="53"/>
      <c r="I38" s="53"/>
      <c r="J38" s="53"/>
      <c r="K38" s="53"/>
      <c r="L38" s="53"/>
      <c r="M38" s="49"/>
      <c r="N38" s="49"/>
      <c r="O38" s="49"/>
      <c r="P38" s="49"/>
      <c r="Q38" s="51"/>
      <c r="R38" s="51"/>
      <c r="S38" s="107"/>
    </row>
    <row r="39" spans="1:19" ht="15" customHeight="1" thickBot="1" x14ac:dyDescent="0.35">
      <c r="A39" s="54"/>
      <c r="B39" s="11" t="s">
        <v>78</v>
      </c>
      <c r="C39" s="43"/>
      <c r="D39" s="45"/>
      <c r="E39" s="45"/>
      <c r="F39" s="45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51"/>
      <c r="R39" s="51"/>
      <c r="S39" s="107"/>
    </row>
    <row r="40" spans="1:19" ht="15" customHeight="1" x14ac:dyDescent="0.3">
      <c r="A40" s="54"/>
      <c r="B40" s="11" t="s">
        <v>76</v>
      </c>
      <c r="C40" s="42"/>
      <c r="D40" s="44"/>
      <c r="E40" s="44"/>
      <c r="F40" s="44"/>
      <c r="G40" s="46">
        <f t="shared" ref="G40" si="26"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51"/>
      <c r="R40" s="51"/>
      <c r="S40" s="107"/>
    </row>
    <row r="41" spans="1:19" ht="15" customHeight="1" thickBot="1" x14ac:dyDescent="0.35">
      <c r="A41" s="54"/>
      <c r="B41" s="11" t="s">
        <v>120</v>
      </c>
      <c r="C41" s="43"/>
      <c r="D41" s="45"/>
      <c r="E41" s="45"/>
      <c r="F41" s="45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51"/>
      <c r="R41" s="51"/>
      <c r="S41" s="50"/>
    </row>
    <row r="42" spans="1:19" ht="15" customHeight="1" x14ac:dyDescent="0.3">
      <c r="A42" s="54">
        <v>7</v>
      </c>
      <c r="B42" s="10" t="s">
        <v>121</v>
      </c>
      <c r="C42" s="42" t="s">
        <v>13</v>
      </c>
      <c r="D42" s="44">
        <v>43467</v>
      </c>
      <c r="E42" s="44">
        <v>75263</v>
      </c>
      <c r="F42" s="44">
        <v>72515</v>
      </c>
      <c r="G42" s="46">
        <f t="shared" ref="G42" si="27">SUM(D42:F42)</f>
        <v>191245</v>
      </c>
      <c r="H42" s="43">
        <f>SUM(G42:G46)</f>
        <v>191245</v>
      </c>
      <c r="I42" s="53">
        <v>376</v>
      </c>
      <c r="J42" s="53"/>
      <c r="K42" s="53">
        <v>380</v>
      </c>
      <c r="L42" s="53"/>
      <c r="M42" s="34">
        <f t="shared" ref="M42:O42" si="28">(100*D42)/$S$3</f>
        <v>48.296666666666667</v>
      </c>
      <c r="N42" s="34">
        <f t="shared" si="28"/>
        <v>83.62555555555555</v>
      </c>
      <c r="O42" s="34">
        <f t="shared" si="28"/>
        <v>80.572222222222223</v>
      </c>
      <c r="P42" s="34">
        <f>(H42*100)/$R$3</f>
        <v>70.831481481481475</v>
      </c>
      <c r="Q42" s="50" t="s">
        <v>41</v>
      </c>
      <c r="R42" s="50" t="s">
        <v>44</v>
      </c>
      <c r="S42" s="106" t="s">
        <v>45</v>
      </c>
    </row>
    <row r="43" spans="1:19" ht="15" customHeight="1" thickBot="1" x14ac:dyDescent="0.35">
      <c r="A43" s="54"/>
      <c r="B43" s="10" t="s">
        <v>122</v>
      </c>
      <c r="C43" s="43"/>
      <c r="D43" s="45"/>
      <c r="E43" s="45"/>
      <c r="F43" s="45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50"/>
      <c r="R43" s="50"/>
      <c r="S43" s="107"/>
    </row>
    <row r="44" spans="1:19" ht="15" customHeight="1" x14ac:dyDescent="0.3">
      <c r="A44" s="54"/>
      <c r="B44" s="11" t="s">
        <v>77</v>
      </c>
      <c r="C44" s="42"/>
      <c r="D44" s="44"/>
      <c r="E44" s="44"/>
      <c r="F44" s="44"/>
      <c r="G44" s="46">
        <f t="shared" ref="G44" si="29"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51"/>
      <c r="R44" s="51"/>
      <c r="S44" s="107"/>
    </row>
    <row r="45" spans="1:19" ht="15" customHeight="1" thickBot="1" x14ac:dyDescent="0.35">
      <c r="A45" s="54"/>
      <c r="B45" s="11" t="s">
        <v>78</v>
      </c>
      <c r="C45" s="43"/>
      <c r="D45" s="45"/>
      <c r="E45" s="45"/>
      <c r="F45" s="45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51"/>
      <c r="R45" s="51"/>
      <c r="S45" s="107"/>
    </row>
    <row r="46" spans="1:19" ht="15" customHeight="1" x14ac:dyDescent="0.3">
      <c r="A46" s="54"/>
      <c r="B46" s="11" t="s">
        <v>76</v>
      </c>
      <c r="C46" s="42"/>
      <c r="D46" s="44"/>
      <c r="E46" s="44"/>
      <c r="F46" s="44"/>
      <c r="G46" s="46">
        <f t="shared" ref="G46" si="30"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51"/>
      <c r="R46" s="51"/>
      <c r="S46" s="107"/>
    </row>
    <row r="47" spans="1:19" ht="15" customHeight="1" thickBot="1" x14ac:dyDescent="0.35">
      <c r="A47" s="54"/>
      <c r="B47" s="11" t="s">
        <v>120</v>
      </c>
      <c r="C47" s="47"/>
      <c r="D47" s="48"/>
      <c r="E47" s="48"/>
      <c r="F47" s="48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51"/>
      <c r="R47" s="51"/>
      <c r="S47" s="50"/>
    </row>
    <row r="48" spans="1:19" ht="15" thickBot="1" x14ac:dyDescent="0.35">
      <c r="C48" s="35" t="s">
        <v>23</v>
      </c>
      <c r="D48" s="37">
        <f>SUM(D6:D47)</f>
        <v>492171</v>
      </c>
      <c r="E48" s="37">
        <f>SUM(E6:E47)</f>
        <v>522134</v>
      </c>
      <c r="F48" s="37">
        <f>SUM(F6:F47)</f>
        <v>476610</v>
      </c>
      <c r="G48" s="37">
        <f>SUM(G6:G46)</f>
        <v>1490915</v>
      </c>
      <c r="H48" s="37">
        <f>SUM(H6:H47)</f>
        <v>1490915</v>
      </c>
    </row>
    <row r="49" spans="3:16" ht="15" thickBot="1" x14ac:dyDescent="0.35">
      <c r="C49" s="36"/>
      <c r="D49" s="38"/>
      <c r="E49" s="38"/>
      <c r="F49" s="38"/>
      <c r="G49" s="38"/>
      <c r="H49" s="38"/>
      <c r="J49" s="13" t="s">
        <v>61</v>
      </c>
      <c r="K49" s="13" t="s">
        <v>62</v>
      </c>
      <c r="L49" s="102" t="s">
        <v>63</v>
      </c>
      <c r="M49" s="103"/>
      <c r="N49" s="13" t="s">
        <v>62</v>
      </c>
      <c r="O49" s="13" t="s">
        <v>64</v>
      </c>
      <c r="P49" s="13" t="s">
        <v>62</v>
      </c>
    </row>
    <row r="50" spans="3:16" x14ac:dyDescent="0.3">
      <c r="J50" s="16">
        <v>6</v>
      </c>
      <c r="K50" s="17" t="s">
        <v>65</v>
      </c>
      <c r="L50" s="104"/>
      <c r="M50" s="104"/>
      <c r="N50" s="17"/>
      <c r="O50" s="16"/>
      <c r="P50" s="17"/>
    </row>
    <row r="51" spans="3:16" x14ac:dyDescent="0.3">
      <c r="J51" s="16">
        <v>7</v>
      </c>
      <c r="K51" s="17" t="s">
        <v>65</v>
      </c>
      <c r="L51" s="104"/>
      <c r="M51" s="104"/>
      <c r="N51" s="17"/>
      <c r="O51" s="16"/>
      <c r="P51" s="17"/>
    </row>
    <row r="52" spans="3:16" x14ac:dyDescent="0.3">
      <c r="J52" s="14"/>
      <c r="K52" s="14"/>
      <c r="L52" s="105"/>
      <c r="M52" s="105"/>
      <c r="N52" s="14"/>
      <c r="O52" s="14"/>
      <c r="P52" s="14"/>
    </row>
    <row r="53" spans="3:16" x14ac:dyDescent="0.3">
      <c r="J53" s="15"/>
      <c r="K53" s="15"/>
      <c r="L53" s="15"/>
      <c r="M53" s="15"/>
      <c r="N53" s="15"/>
      <c r="O53" s="15"/>
      <c r="P53" s="15"/>
    </row>
  </sheetData>
  <mergeCells count="219">
    <mergeCell ref="D24:D25"/>
    <mergeCell ref="F42:F43"/>
    <mergeCell ref="E42:E43"/>
    <mergeCell ref="D42:D43"/>
    <mergeCell ref="C42:C43"/>
    <mergeCell ref="D40:D41"/>
    <mergeCell ref="E40:E41"/>
    <mergeCell ref="F40:F41"/>
    <mergeCell ref="G40:G41"/>
    <mergeCell ref="G34:G35"/>
    <mergeCell ref="F34:F35"/>
    <mergeCell ref="E34:E35"/>
    <mergeCell ref="D34:D35"/>
    <mergeCell ref="C34:C35"/>
    <mergeCell ref="E10:E11"/>
    <mergeCell ref="C32:C33"/>
    <mergeCell ref="D32:D33"/>
    <mergeCell ref="E32:E33"/>
    <mergeCell ref="F32:F33"/>
    <mergeCell ref="G32:G33"/>
    <mergeCell ref="F18:F19"/>
    <mergeCell ref="E18:E19"/>
    <mergeCell ref="D18:D19"/>
    <mergeCell ref="C18:C19"/>
    <mergeCell ref="C30:C31"/>
    <mergeCell ref="G28:G29"/>
    <mergeCell ref="F28:F29"/>
    <mergeCell ref="E28:E29"/>
    <mergeCell ref="D28:D29"/>
    <mergeCell ref="C28:C29"/>
    <mergeCell ref="C26:C27"/>
    <mergeCell ref="D26:D27"/>
    <mergeCell ref="E26:E27"/>
    <mergeCell ref="F26:F27"/>
    <mergeCell ref="G26:G27"/>
    <mergeCell ref="G24:G25"/>
    <mergeCell ref="F24:F25"/>
    <mergeCell ref="E24:E25"/>
    <mergeCell ref="L51:M51"/>
    <mergeCell ref="C24:C25"/>
    <mergeCell ref="G30:G31"/>
    <mergeCell ref="F30:F31"/>
    <mergeCell ref="E30:E31"/>
    <mergeCell ref="D30:D31"/>
    <mergeCell ref="C6:C7"/>
    <mergeCell ref="C16:C17"/>
    <mergeCell ref="D16:D17"/>
    <mergeCell ref="E16:E17"/>
    <mergeCell ref="F16:F17"/>
    <mergeCell ref="G16:G17"/>
    <mergeCell ref="G14:G15"/>
    <mergeCell ref="F14:F15"/>
    <mergeCell ref="E14:E15"/>
    <mergeCell ref="D14:D15"/>
    <mergeCell ref="C14:C15"/>
    <mergeCell ref="C12:C13"/>
    <mergeCell ref="D12:D13"/>
    <mergeCell ref="E12:E13"/>
    <mergeCell ref="F12:F13"/>
    <mergeCell ref="G12:G13"/>
    <mergeCell ref="G10:G11"/>
    <mergeCell ref="F10:F11"/>
    <mergeCell ref="L52:M52"/>
    <mergeCell ref="K24:K29"/>
    <mergeCell ref="L24:L29"/>
    <mergeCell ref="M6:M11"/>
    <mergeCell ref="J24:J29"/>
    <mergeCell ref="C48:C49"/>
    <mergeCell ref="D48:D49"/>
    <mergeCell ref="E48:E49"/>
    <mergeCell ref="F48:F49"/>
    <mergeCell ref="G48:G49"/>
    <mergeCell ref="H48:H49"/>
    <mergeCell ref="M42:M47"/>
    <mergeCell ref="G6:G7"/>
    <mergeCell ref="F6:F7"/>
    <mergeCell ref="E6:E7"/>
    <mergeCell ref="D6:D7"/>
    <mergeCell ref="D10:D11"/>
    <mergeCell ref="C10:C11"/>
    <mergeCell ref="C8:C9"/>
    <mergeCell ref="D8:D9"/>
    <mergeCell ref="E8:E9"/>
    <mergeCell ref="F8:F9"/>
    <mergeCell ref="G8:G9"/>
    <mergeCell ref="L50:M50"/>
    <mergeCell ref="A1:C3"/>
    <mergeCell ref="D1:Q3"/>
    <mergeCell ref="R1:S1"/>
    <mergeCell ref="A4:A5"/>
    <mergeCell ref="B4:B5"/>
    <mergeCell ref="C4:C5"/>
    <mergeCell ref="D4:F4"/>
    <mergeCell ref="G4:G5"/>
    <mergeCell ref="H4:H5"/>
    <mergeCell ref="I4:K4"/>
    <mergeCell ref="L4:L5"/>
    <mergeCell ref="M4:P4"/>
    <mergeCell ref="Q4:S4"/>
    <mergeCell ref="A6:A11"/>
    <mergeCell ref="H6:H11"/>
    <mergeCell ref="I6:I11"/>
    <mergeCell ref="J6:J11"/>
    <mergeCell ref="K6:K11"/>
    <mergeCell ref="L6:L11"/>
    <mergeCell ref="S6:S11"/>
    <mergeCell ref="A12:A17"/>
    <mergeCell ref="S12:S17"/>
    <mergeCell ref="H12:H17"/>
    <mergeCell ref="I12:I17"/>
    <mergeCell ref="J12:J17"/>
    <mergeCell ref="K12:K17"/>
    <mergeCell ref="L12:L17"/>
    <mergeCell ref="M12:M17"/>
    <mergeCell ref="N12:N17"/>
    <mergeCell ref="P12:P17"/>
    <mergeCell ref="Q12:Q17"/>
    <mergeCell ref="R12:R17"/>
    <mergeCell ref="O6:O11"/>
    <mergeCell ref="P6:P11"/>
    <mergeCell ref="Q6:Q11"/>
    <mergeCell ref="R6:R11"/>
    <mergeCell ref="O12:O17"/>
    <mergeCell ref="A18:A23"/>
    <mergeCell ref="H18:H23"/>
    <mergeCell ref="I18:I23"/>
    <mergeCell ref="J18:J23"/>
    <mergeCell ref="Q18:Q23"/>
    <mergeCell ref="R18:R23"/>
    <mergeCell ref="S18:S23"/>
    <mergeCell ref="M18:M23"/>
    <mergeCell ref="N18:N23"/>
    <mergeCell ref="O18:O23"/>
    <mergeCell ref="P18:P23"/>
    <mergeCell ref="G22:G23"/>
    <mergeCell ref="F22:F23"/>
    <mergeCell ref="E22:E23"/>
    <mergeCell ref="C22:C23"/>
    <mergeCell ref="D22:D23"/>
    <mergeCell ref="K18:K23"/>
    <mergeCell ref="L18:L23"/>
    <mergeCell ref="C20:C21"/>
    <mergeCell ref="D20:D21"/>
    <mergeCell ref="E20:E21"/>
    <mergeCell ref="F20:F21"/>
    <mergeCell ref="G20:G21"/>
    <mergeCell ref="G18:G19"/>
    <mergeCell ref="N6:N11"/>
    <mergeCell ref="S24:S29"/>
    <mergeCell ref="A30:A35"/>
    <mergeCell ref="H30:H35"/>
    <mergeCell ref="I30:I35"/>
    <mergeCell ref="J30:J35"/>
    <mergeCell ref="K30:K35"/>
    <mergeCell ref="L30:L35"/>
    <mergeCell ref="M30:M35"/>
    <mergeCell ref="N30:N35"/>
    <mergeCell ref="M24:M29"/>
    <mergeCell ref="N24:N29"/>
    <mergeCell ref="O24:O29"/>
    <mergeCell ref="P24:P29"/>
    <mergeCell ref="Q24:Q29"/>
    <mergeCell ref="R24:R29"/>
    <mergeCell ref="O30:O35"/>
    <mergeCell ref="P30:P35"/>
    <mergeCell ref="Q30:Q35"/>
    <mergeCell ref="R30:R35"/>
    <mergeCell ref="S30:S35"/>
    <mergeCell ref="A24:A29"/>
    <mergeCell ref="H24:H29"/>
    <mergeCell ref="I24:I29"/>
    <mergeCell ref="S36:S41"/>
    <mergeCell ref="A42:A47"/>
    <mergeCell ref="H42:H47"/>
    <mergeCell ref="I42:I47"/>
    <mergeCell ref="J42:J47"/>
    <mergeCell ref="K42:K47"/>
    <mergeCell ref="L42:L47"/>
    <mergeCell ref="K36:K41"/>
    <mergeCell ref="L36:L41"/>
    <mergeCell ref="M36:M41"/>
    <mergeCell ref="N36:N41"/>
    <mergeCell ref="O36:O41"/>
    <mergeCell ref="P36:P41"/>
    <mergeCell ref="S42:S47"/>
    <mergeCell ref="P42:P47"/>
    <mergeCell ref="Q42:Q47"/>
    <mergeCell ref="R42:R47"/>
    <mergeCell ref="C40:C41"/>
    <mergeCell ref="G38:G39"/>
    <mergeCell ref="F38:F39"/>
    <mergeCell ref="E38:E39"/>
    <mergeCell ref="D38:D39"/>
    <mergeCell ref="C38:C39"/>
    <mergeCell ref="G36:G37"/>
    <mergeCell ref="N42:N47"/>
    <mergeCell ref="O42:O47"/>
    <mergeCell ref="L49:M49"/>
    <mergeCell ref="A36:A41"/>
    <mergeCell ref="H36:H41"/>
    <mergeCell ref="I36:I41"/>
    <mergeCell ref="J36:J41"/>
    <mergeCell ref="Q36:Q41"/>
    <mergeCell ref="R36:R41"/>
    <mergeCell ref="F36:F37"/>
    <mergeCell ref="E36:E37"/>
    <mergeCell ref="D36:D37"/>
    <mergeCell ref="C36:C37"/>
    <mergeCell ref="C46:C47"/>
    <mergeCell ref="D46:D47"/>
    <mergeCell ref="E46:E47"/>
    <mergeCell ref="F46:F47"/>
    <mergeCell ref="G46:G47"/>
    <mergeCell ref="E44:E45"/>
    <mergeCell ref="C44:C45"/>
    <mergeCell ref="D44:D45"/>
    <mergeCell ref="F44:F45"/>
    <mergeCell ref="G44:G45"/>
    <mergeCell ref="G42:G43"/>
  </mergeCells>
  <pageMargins left="0.19685039370078741" right="0.19685039370078741" top="0.19685039370078741" bottom="0.19685039370078741" header="0.31496062992125984" footer="0.31496062992125984"/>
  <pageSetup paperSize="8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B7F2-7BE7-4E6B-B93F-9F35B70CC2CF}">
  <sheetPr>
    <pageSetUpPr fitToPage="1"/>
  </sheetPr>
  <dimension ref="A1:S53"/>
  <sheetViews>
    <sheetView zoomScaleNormal="100" workbookViewId="0">
      <selection activeCell="B6" sqref="B6:B47"/>
    </sheetView>
  </sheetViews>
  <sheetFormatPr defaultRowHeight="14.4" x14ac:dyDescent="0.3"/>
  <cols>
    <col min="1" max="1" width="7.88671875" customWidth="1"/>
    <col min="2" max="2" width="13.1093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9" width="20.77734375" customWidth="1"/>
  </cols>
  <sheetData>
    <row r="1" spans="1:19" ht="15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9" t="s">
        <v>48</v>
      </c>
      <c r="S1" s="90"/>
    </row>
    <row r="2" spans="1:19" ht="15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7" t="s">
        <v>19</v>
      </c>
      <c r="S2" s="7" t="s">
        <v>20</v>
      </c>
    </row>
    <row r="3" spans="1:19" ht="15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8">
        <v>270000</v>
      </c>
      <c r="S3" s="6">
        <v>90000</v>
      </c>
    </row>
    <row r="4" spans="1:19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6" t="s">
        <v>11</v>
      </c>
      <c r="R4" s="67"/>
      <c r="S4" s="68"/>
    </row>
    <row r="5" spans="1:19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5" t="s">
        <v>10</v>
      </c>
      <c r="Q5" s="1" t="s">
        <v>4</v>
      </c>
      <c r="R5" s="2" t="s">
        <v>5</v>
      </c>
      <c r="S5" s="3" t="s">
        <v>6</v>
      </c>
    </row>
    <row r="6" spans="1:19" ht="15" customHeight="1" x14ac:dyDescent="0.3">
      <c r="A6" s="59">
        <v>1</v>
      </c>
      <c r="B6" s="10" t="s">
        <v>121</v>
      </c>
      <c r="C6" s="46" t="s">
        <v>12</v>
      </c>
      <c r="D6" s="70">
        <v>80023</v>
      </c>
      <c r="E6" s="70">
        <v>70003</v>
      </c>
      <c r="F6" s="70">
        <v>66723</v>
      </c>
      <c r="G6" s="46">
        <f>SUM(D6:F6)</f>
        <v>216749</v>
      </c>
      <c r="H6" s="43">
        <f>SUM(G6:G10)</f>
        <v>216749</v>
      </c>
      <c r="I6" s="43">
        <v>421</v>
      </c>
      <c r="J6" s="43">
        <v>398</v>
      </c>
      <c r="K6" s="43">
        <v>380</v>
      </c>
      <c r="L6" s="43"/>
      <c r="M6" s="34">
        <f>(100*D6)/$S$3</f>
        <v>88.914444444444442</v>
      </c>
      <c r="N6" s="34">
        <f t="shared" ref="N6:O6" si="0">(100*E6)/$S$3</f>
        <v>77.781111111111116</v>
      </c>
      <c r="O6" s="34">
        <f t="shared" si="0"/>
        <v>74.13666666666667</v>
      </c>
      <c r="P6" s="34">
        <f>(H6*100)/$R$3</f>
        <v>80.277407407407409</v>
      </c>
      <c r="Q6" s="50" t="s">
        <v>42</v>
      </c>
      <c r="R6" s="50" t="s">
        <v>44</v>
      </c>
      <c r="S6" s="50" t="s">
        <v>44</v>
      </c>
    </row>
    <row r="7" spans="1:19" ht="15" customHeight="1" thickBot="1" x14ac:dyDescent="0.35">
      <c r="A7" s="59"/>
      <c r="B7" s="10" t="s">
        <v>122</v>
      </c>
      <c r="C7" s="43"/>
      <c r="D7" s="45"/>
      <c r="E7" s="45"/>
      <c r="F7" s="45"/>
      <c r="G7" s="43"/>
      <c r="H7" s="43"/>
      <c r="I7" s="43"/>
      <c r="J7" s="43"/>
      <c r="K7" s="43"/>
      <c r="L7" s="43"/>
      <c r="M7" s="34"/>
      <c r="N7" s="34"/>
      <c r="O7" s="34"/>
      <c r="P7" s="34"/>
      <c r="Q7" s="50"/>
      <c r="R7" s="50"/>
      <c r="S7" s="50"/>
    </row>
    <row r="8" spans="1:19" ht="15" customHeight="1" x14ac:dyDescent="0.3">
      <c r="A8" s="54"/>
      <c r="B8" s="11" t="s">
        <v>77</v>
      </c>
      <c r="C8" s="42"/>
      <c r="D8" s="44"/>
      <c r="E8" s="44"/>
      <c r="F8" s="44"/>
      <c r="G8" s="46">
        <f t="shared" ref="G8" si="1">SUM(D8:F8)</f>
        <v>0</v>
      </c>
      <c r="H8" s="53"/>
      <c r="I8" s="53"/>
      <c r="J8" s="53"/>
      <c r="K8" s="53"/>
      <c r="L8" s="53"/>
      <c r="M8" s="49"/>
      <c r="N8" s="49"/>
      <c r="O8" s="49"/>
      <c r="P8" s="49"/>
      <c r="Q8" s="51"/>
      <c r="R8" s="51"/>
      <c r="S8" s="51"/>
    </row>
    <row r="9" spans="1:19" ht="15" customHeight="1" thickBot="1" x14ac:dyDescent="0.35">
      <c r="A9" s="54"/>
      <c r="B9" s="11" t="s">
        <v>78</v>
      </c>
      <c r="C9" s="43"/>
      <c r="D9" s="45"/>
      <c r="E9" s="45"/>
      <c r="F9" s="45"/>
      <c r="G9" s="43"/>
      <c r="H9" s="53"/>
      <c r="I9" s="53"/>
      <c r="J9" s="53"/>
      <c r="K9" s="53"/>
      <c r="L9" s="53"/>
      <c r="M9" s="49"/>
      <c r="N9" s="49"/>
      <c r="O9" s="49"/>
      <c r="P9" s="49"/>
      <c r="Q9" s="51"/>
      <c r="R9" s="51"/>
      <c r="S9" s="51"/>
    </row>
    <row r="10" spans="1:19" ht="15" customHeight="1" x14ac:dyDescent="0.3">
      <c r="A10" s="54"/>
      <c r="B10" s="11" t="s">
        <v>76</v>
      </c>
      <c r="C10" s="42"/>
      <c r="D10" s="44"/>
      <c r="E10" s="44"/>
      <c r="F10" s="44"/>
      <c r="G10" s="46">
        <f t="shared" ref="G10" si="2">SUM(D10:F10)</f>
        <v>0</v>
      </c>
      <c r="H10" s="53"/>
      <c r="I10" s="53"/>
      <c r="J10" s="53"/>
      <c r="K10" s="53"/>
      <c r="L10" s="53"/>
      <c r="M10" s="49"/>
      <c r="N10" s="49"/>
      <c r="O10" s="49"/>
      <c r="P10" s="49"/>
      <c r="Q10" s="51"/>
      <c r="R10" s="51"/>
      <c r="S10" s="51"/>
    </row>
    <row r="11" spans="1:19" ht="15" customHeight="1" thickBot="1" x14ac:dyDescent="0.35">
      <c r="A11" s="54"/>
      <c r="B11" s="11" t="s">
        <v>120</v>
      </c>
      <c r="C11" s="43"/>
      <c r="D11" s="45"/>
      <c r="E11" s="45"/>
      <c r="F11" s="45"/>
      <c r="G11" s="43"/>
      <c r="H11" s="53"/>
      <c r="I11" s="53"/>
      <c r="J11" s="53"/>
      <c r="K11" s="53"/>
      <c r="L11" s="53"/>
      <c r="M11" s="49"/>
      <c r="N11" s="49"/>
      <c r="O11" s="49"/>
      <c r="P11" s="49"/>
      <c r="Q11" s="51"/>
      <c r="R11" s="51"/>
      <c r="S11" s="51"/>
    </row>
    <row r="12" spans="1:19" ht="15" customHeight="1" x14ac:dyDescent="0.3">
      <c r="A12" s="54">
        <v>2</v>
      </c>
      <c r="B12" s="10" t="s">
        <v>121</v>
      </c>
      <c r="C12" s="42" t="s">
        <v>12</v>
      </c>
      <c r="D12" s="44">
        <v>72095</v>
      </c>
      <c r="E12" s="44">
        <v>63129</v>
      </c>
      <c r="F12" s="44">
        <v>65688</v>
      </c>
      <c r="G12" s="46">
        <f t="shared" ref="G12" si="3">SUM(D12:F12)</f>
        <v>200912</v>
      </c>
      <c r="H12" s="43">
        <f>SUM(G12:G16)</f>
        <v>200912</v>
      </c>
      <c r="I12" s="53">
        <v>416</v>
      </c>
      <c r="J12" s="53">
        <v>363</v>
      </c>
      <c r="K12" s="53">
        <v>379</v>
      </c>
      <c r="L12" s="53"/>
      <c r="M12" s="34">
        <f>(100*D12)/$S$3</f>
        <v>80.105555555555554</v>
      </c>
      <c r="N12" s="34">
        <f t="shared" ref="N12:O12" si="4">(100*E12)/$S$3</f>
        <v>70.143333333333331</v>
      </c>
      <c r="O12" s="34">
        <f t="shared" si="4"/>
        <v>72.986666666666665</v>
      </c>
      <c r="P12" s="34">
        <f>(H12*100)/$R$3</f>
        <v>74.41185185185185</v>
      </c>
      <c r="Q12" s="50" t="s">
        <v>42</v>
      </c>
      <c r="R12" s="108" t="s">
        <v>50</v>
      </c>
      <c r="S12" s="50" t="s">
        <v>44</v>
      </c>
    </row>
    <row r="13" spans="1:19" ht="15" customHeight="1" thickBot="1" x14ac:dyDescent="0.35">
      <c r="A13" s="54"/>
      <c r="B13" s="10" t="s">
        <v>122</v>
      </c>
      <c r="C13" s="43"/>
      <c r="D13" s="45"/>
      <c r="E13" s="45"/>
      <c r="F13" s="45"/>
      <c r="G13" s="43"/>
      <c r="H13" s="43"/>
      <c r="I13" s="53"/>
      <c r="J13" s="53"/>
      <c r="K13" s="53"/>
      <c r="L13" s="53"/>
      <c r="M13" s="34"/>
      <c r="N13" s="34"/>
      <c r="O13" s="34"/>
      <c r="P13" s="34"/>
      <c r="Q13" s="50"/>
      <c r="R13" s="107"/>
      <c r="S13" s="50"/>
    </row>
    <row r="14" spans="1:19" ht="15" customHeight="1" x14ac:dyDescent="0.3">
      <c r="A14" s="54"/>
      <c r="B14" s="11" t="s">
        <v>77</v>
      </c>
      <c r="C14" s="42"/>
      <c r="D14" s="44"/>
      <c r="E14" s="44"/>
      <c r="F14" s="44"/>
      <c r="G14" s="46">
        <f t="shared" ref="G14" si="5">SUM(D14:F14)</f>
        <v>0</v>
      </c>
      <c r="H14" s="53"/>
      <c r="I14" s="53"/>
      <c r="J14" s="53"/>
      <c r="K14" s="53"/>
      <c r="L14" s="53"/>
      <c r="M14" s="49"/>
      <c r="N14" s="49"/>
      <c r="O14" s="49"/>
      <c r="P14" s="49"/>
      <c r="Q14" s="51"/>
      <c r="R14" s="107"/>
      <c r="S14" s="51"/>
    </row>
    <row r="15" spans="1:19" ht="15" customHeight="1" thickBot="1" x14ac:dyDescent="0.35">
      <c r="A15" s="54"/>
      <c r="B15" s="11" t="s">
        <v>78</v>
      </c>
      <c r="C15" s="43"/>
      <c r="D15" s="45"/>
      <c r="E15" s="45"/>
      <c r="F15" s="45"/>
      <c r="G15" s="43"/>
      <c r="H15" s="53"/>
      <c r="I15" s="53"/>
      <c r="J15" s="53"/>
      <c r="K15" s="53"/>
      <c r="L15" s="53"/>
      <c r="M15" s="49"/>
      <c r="N15" s="49"/>
      <c r="O15" s="49"/>
      <c r="P15" s="49"/>
      <c r="Q15" s="51"/>
      <c r="R15" s="107"/>
      <c r="S15" s="51"/>
    </row>
    <row r="16" spans="1:19" ht="15" customHeight="1" x14ac:dyDescent="0.3">
      <c r="A16" s="54"/>
      <c r="B16" s="11" t="s">
        <v>76</v>
      </c>
      <c r="C16" s="112"/>
      <c r="D16" s="44"/>
      <c r="E16" s="44"/>
      <c r="F16" s="44"/>
      <c r="G16" s="46">
        <f t="shared" ref="G16" si="6">SUM(D16:F16)</f>
        <v>0</v>
      </c>
      <c r="H16" s="53"/>
      <c r="I16" s="53"/>
      <c r="J16" s="53"/>
      <c r="K16" s="53"/>
      <c r="L16" s="53"/>
      <c r="M16" s="49"/>
      <c r="N16" s="49"/>
      <c r="O16" s="49"/>
      <c r="P16" s="49"/>
      <c r="Q16" s="51"/>
      <c r="R16" s="107"/>
      <c r="S16" s="51"/>
    </row>
    <row r="17" spans="1:19" ht="15" customHeight="1" thickBot="1" x14ac:dyDescent="0.35">
      <c r="A17" s="54"/>
      <c r="B17" s="11" t="s">
        <v>120</v>
      </c>
      <c r="C17" s="113"/>
      <c r="D17" s="45"/>
      <c r="E17" s="45"/>
      <c r="F17" s="45"/>
      <c r="G17" s="43"/>
      <c r="H17" s="53"/>
      <c r="I17" s="53"/>
      <c r="J17" s="53"/>
      <c r="K17" s="53"/>
      <c r="L17" s="53"/>
      <c r="M17" s="49"/>
      <c r="N17" s="49"/>
      <c r="O17" s="49"/>
      <c r="P17" s="49"/>
      <c r="Q17" s="51"/>
      <c r="R17" s="50"/>
      <c r="S17" s="51"/>
    </row>
    <row r="18" spans="1:19" ht="15" customHeight="1" x14ac:dyDescent="0.3">
      <c r="A18" s="54">
        <v>3</v>
      </c>
      <c r="B18" s="10" t="s">
        <v>121</v>
      </c>
      <c r="C18" s="42" t="s">
        <v>12</v>
      </c>
      <c r="D18" s="44">
        <v>77072</v>
      </c>
      <c r="E18" s="44">
        <v>71557</v>
      </c>
      <c r="F18" s="44">
        <v>69761</v>
      </c>
      <c r="G18" s="46">
        <f t="shared" ref="G18" si="7">SUM(D18:F18)</f>
        <v>218390</v>
      </c>
      <c r="H18" s="43">
        <f>SUM(G18:G22)</f>
        <v>218390</v>
      </c>
      <c r="I18" s="53"/>
      <c r="J18" s="53"/>
      <c r="K18" s="53"/>
      <c r="L18" s="53"/>
      <c r="M18" s="34">
        <f t="shared" ref="M18:O18" si="8">(100*D18)/$S$3</f>
        <v>85.635555555555555</v>
      </c>
      <c r="N18" s="34">
        <f t="shared" si="8"/>
        <v>79.507777777777775</v>
      </c>
      <c r="O18" s="34">
        <f t="shared" si="8"/>
        <v>77.512222222222221</v>
      </c>
      <c r="P18" s="34">
        <f t="shared" ref="P18" si="9">(H18*100)/$R$3</f>
        <v>80.885185185185179</v>
      </c>
      <c r="Q18" s="50" t="s">
        <v>42</v>
      </c>
      <c r="R18" s="50" t="s">
        <v>44</v>
      </c>
      <c r="S18" s="50" t="s">
        <v>44</v>
      </c>
    </row>
    <row r="19" spans="1:19" ht="15" customHeight="1" thickBot="1" x14ac:dyDescent="0.35">
      <c r="A19" s="54"/>
      <c r="B19" s="10" t="s">
        <v>122</v>
      </c>
      <c r="C19" s="43"/>
      <c r="D19" s="45"/>
      <c r="E19" s="45"/>
      <c r="F19" s="45"/>
      <c r="G19" s="43"/>
      <c r="H19" s="43"/>
      <c r="I19" s="53"/>
      <c r="J19" s="53"/>
      <c r="K19" s="53"/>
      <c r="L19" s="53"/>
      <c r="M19" s="34"/>
      <c r="N19" s="34"/>
      <c r="O19" s="34"/>
      <c r="P19" s="34"/>
      <c r="Q19" s="50"/>
      <c r="R19" s="50"/>
      <c r="S19" s="50"/>
    </row>
    <row r="20" spans="1:19" ht="15" customHeight="1" x14ac:dyDescent="0.3">
      <c r="A20" s="54"/>
      <c r="B20" s="11" t="s">
        <v>77</v>
      </c>
      <c r="C20" s="42"/>
      <c r="D20" s="44"/>
      <c r="E20" s="44"/>
      <c r="F20" s="44"/>
      <c r="G20" s="46">
        <f t="shared" ref="G20" si="10">SUM(D20:F20)</f>
        <v>0</v>
      </c>
      <c r="H20" s="53"/>
      <c r="I20" s="53"/>
      <c r="J20" s="53"/>
      <c r="K20" s="53"/>
      <c r="L20" s="53"/>
      <c r="M20" s="49"/>
      <c r="N20" s="49"/>
      <c r="O20" s="49"/>
      <c r="P20" s="49"/>
      <c r="Q20" s="51"/>
      <c r="R20" s="51"/>
      <c r="S20" s="51"/>
    </row>
    <row r="21" spans="1:19" ht="15" customHeight="1" thickBot="1" x14ac:dyDescent="0.35">
      <c r="A21" s="54"/>
      <c r="B21" s="11" t="s">
        <v>78</v>
      </c>
      <c r="C21" s="43"/>
      <c r="D21" s="45"/>
      <c r="E21" s="45"/>
      <c r="F21" s="45"/>
      <c r="G21" s="43"/>
      <c r="H21" s="53"/>
      <c r="I21" s="53"/>
      <c r="J21" s="53"/>
      <c r="K21" s="53"/>
      <c r="L21" s="53"/>
      <c r="M21" s="49"/>
      <c r="N21" s="49"/>
      <c r="O21" s="49"/>
      <c r="P21" s="49"/>
      <c r="Q21" s="51"/>
      <c r="R21" s="51"/>
      <c r="S21" s="51"/>
    </row>
    <row r="22" spans="1:19" ht="15" customHeight="1" x14ac:dyDescent="0.3">
      <c r="A22" s="54"/>
      <c r="B22" s="11" t="s">
        <v>76</v>
      </c>
      <c r="C22" s="42"/>
      <c r="D22" s="44"/>
      <c r="E22" s="44"/>
      <c r="F22" s="44"/>
      <c r="G22" s="46">
        <f t="shared" ref="G22" si="11">SUM(D22:F22)</f>
        <v>0</v>
      </c>
      <c r="H22" s="53"/>
      <c r="I22" s="53"/>
      <c r="J22" s="53"/>
      <c r="K22" s="53"/>
      <c r="L22" s="53"/>
      <c r="M22" s="49"/>
      <c r="N22" s="49"/>
      <c r="O22" s="49"/>
      <c r="P22" s="49"/>
      <c r="Q22" s="51"/>
      <c r="R22" s="51"/>
      <c r="S22" s="51"/>
    </row>
    <row r="23" spans="1:19" ht="15" customHeight="1" thickBot="1" x14ac:dyDescent="0.35">
      <c r="A23" s="54"/>
      <c r="B23" s="11" t="s">
        <v>120</v>
      </c>
      <c r="C23" s="43"/>
      <c r="D23" s="45"/>
      <c r="E23" s="45"/>
      <c r="F23" s="45"/>
      <c r="G23" s="43"/>
      <c r="H23" s="53"/>
      <c r="I23" s="53"/>
      <c r="J23" s="53"/>
      <c r="K23" s="53"/>
      <c r="L23" s="53"/>
      <c r="M23" s="49"/>
      <c r="N23" s="49"/>
      <c r="O23" s="49"/>
      <c r="P23" s="49"/>
      <c r="Q23" s="51"/>
      <c r="R23" s="51"/>
      <c r="S23" s="51"/>
    </row>
    <row r="24" spans="1:19" ht="15" customHeight="1" x14ac:dyDescent="0.3">
      <c r="A24" s="54">
        <v>4</v>
      </c>
      <c r="B24" s="10" t="s">
        <v>121</v>
      </c>
      <c r="C24" s="42" t="s">
        <v>12</v>
      </c>
      <c r="D24" s="44"/>
      <c r="E24" s="44"/>
      <c r="F24" s="44"/>
      <c r="G24" s="46">
        <f t="shared" ref="G24" si="12">SUM(D24:F24)</f>
        <v>0</v>
      </c>
      <c r="H24" s="43">
        <f>SUM(G24:G28)</f>
        <v>214184</v>
      </c>
      <c r="I24" s="53">
        <v>420</v>
      </c>
      <c r="J24" s="53">
        <v>395</v>
      </c>
      <c r="K24" s="53">
        <v>377</v>
      </c>
      <c r="L24" s="53"/>
      <c r="M24" s="34">
        <f t="shared" ref="M24:O24" si="13">(100*D24)/$S$3</f>
        <v>0</v>
      </c>
      <c r="N24" s="34">
        <f t="shared" si="13"/>
        <v>0</v>
      </c>
      <c r="O24" s="34">
        <f t="shared" si="13"/>
        <v>0</v>
      </c>
      <c r="P24" s="34">
        <f t="shared" ref="P24" si="14">(H24*100)/$R$3</f>
        <v>79.327407407407406</v>
      </c>
      <c r="Q24" s="50" t="s">
        <v>43</v>
      </c>
      <c r="R24" s="50" t="s">
        <v>44</v>
      </c>
      <c r="S24" s="50" t="s">
        <v>44</v>
      </c>
    </row>
    <row r="25" spans="1:19" ht="15" customHeight="1" thickBot="1" x14ac:dyDescent="0.35">
      <c r="A25" s="54"/>
      <c r="B25" s="10" t="s">
        <v>122</v>
      </c>
      <c r="C25" s="43"/>
      <c r="D25" s="45"/>
      <c r="E25" s="45"/>
      <c r="F25" s="45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50"/>
      <c r="R25" s="50"/>
      <c r="S25" s="50"/>
    </row>
    <row r="26" spans="1:19" ht="15" customHeight="1" x14ac:dyDescent="0.3">
      <c r="A26" s="54"/>
      <c r="B26" s="11" t="s">
        <v>77</v>
      </c>
      <c r="C26" s="42" t="s">
        <v>25</v>
      </c>
      <c r="D26" s="44"/>
      <c r="E26" s="44"/>
      <c r="F26" s="44"/>
      <c r="G26" s="46">
        <f t="shared" ref="G26" si="15">SUM(D26:F26)</f>
        <v>0</v>
      </c>
      <c r="H26" s="53"/>
      <c r="I26" s="53"/>
      <c r="J26" s="53"/>
      <c r="K26" s="53"/>
      <c r="L26" s="53"/>
      <c r="M26" s="49"/>
      <c r="N26" s="49"/>
      <c r="O26" s="49"/>
      <c r="P26" s="49"/>
      <c r="Q26" s="51"/>
      <c r="R26" s="51"/>
      <c r="S26" s="51"/>
    </row>
    <row r="27" spans="1:19" ht="15" customHeight="1" thickBot="1" x14ac:dyDescent="0.35">
      <c r="A27" s="54"/>
      <c r="B27" s="11" t="s">
        <v>78</v>
      </c>
      <c r="C27" s="43"/>
      <c r="D27" s="45"/>
      <c r="E27" s="45"/>
      <c r="F27" s="45"/>
      <c r="G27" s="43"/>
      <c r="H27" s="53"/>
      <c r="I27" s="53"/>
      <c r="J27" s="53"/>
      <c r="K27" s="53"/>
      <c r="L27" s="53"/>
      <c r="M27" s="49"/>
      <c r="N27" s="49"/>
      <c r="O27" s="49"/>
      <c r="P27" s="49"/>
      <c r="Q27" s="51"/>
      <c r="R27" s="51"/>
      <c r="S27" s="51"/>
    </row>
    <row r="28" spans="1:19" ht="15" customHeight="1" x14ac:dyDescent="0.3">
      <c r="A28" s="54"/>
      <c r="B28" s="11" t="s">
        <v>76</v>
      </c>
      <c r="C28" s="42" t="s">
        <v>37</v>
      </c>
      <c r="D28" s="44">
        <v>76144</v>
      </c>
      <c r="E28" s="44">
        <v>70654</v>
      </c>
      <c r="F28" s="44">
        <v>67386</v>
      </c>
      <c r="G28" s="46">
        <f t="shared" ref="G28" si="16">SUM(D28:F28)</f>
        <v>214184</v>
      </c>
      <c r="H28" s="53"/>
      <c r="I28" s="53"/>
      <c r="J28" s="53"/>
      <c r="K28" s="53"/>
      <c r="L28" s="53"/>
      <c r="M28" s="49"/>
      <c r="N28" s="49"/>
      <c r="O28" s="49"/>
      <c r="P28" s="49"/>
      <c r="Q28" s="51"/>
      <c r="R28" s="51"/>
      <c r="S28" s="51"/>
    </row>
    <row r="29" spans="1:19" ht="15" customHeight="1" thickBot="1" x14ac:dyDescent="0.35">
      <c r="A29" s="54"/>
      <c r="B29" s="11" t="s">
        <v>120</v>
      </c>
      <c r="C29" s="43"/>
      <c r="D29" s="45"/>
      <c r="E29" s="45"/>
      <c r="F29" s="45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51"/>
      <c r="R29" s="51"/>
      <c r="S29" s="51"/>
    </row>
    <row r="30" spans="1:19" ht="15" customHeight="1" x14ac:dyDescent="0.3">
      <c r="A30" s="54">
        <v>5</v>
      </c>
      <c r="B30" s="10" t="s">
        <v>121</v>
      </c>
      <c r="C30" s="42" t="s">
        <v>12</v>
      </c>
      <c r="D30" s="44"/>
      <c r="E30" s="44"/>
      <c r="F30" s="44"/>
      <c r="G30" s="46">
        <f t="shared" ref="G30" si="17">SUM(D30:F30)</f>
        <v>0</v>
      </c>
      <c r="H30" s="43">
        <f>SUM(G30:G34)</f>
        <v>219815</v>
      </c>
      <c r="I30" s="53">
        <v>421</v>
      </c>
      <c r="J30" s="53">
        <v>393</v>
      </c>
      <c r="K30" s="53">
        <v>377</v>
      </c>
      <c r="L30" s="53"/>
      <c r="M30" s="34">
        <f t="shared" ref="M30:O30" si="18">(100*D30)/$S$3</f>
        <v>0</v>
      </c>
      <c r="N30" s="34">
        <f t="shared" si="18"/>
        <v>0</v>
      </c>
      <c r="O30" s="34">
        <f t="shared" si="18"/>
        <v>0</v>
      </c>
      <c r="P30" s="34">
        <f t="shared" ref="P30" si="19">(H30*100)/$R$3</f>
        <v>81.412962962962965</v>
      </c>
      <c r="Q30" s="50" t="s">
        <v>44</v>
      </c>
      <c r="R30" s="50" t="s">
        <v>44</v>
      </c>
      <c r="S30" s="50" t="s">
        <v>44</v>
      </c>
    </row>
    <row r="31" spans="1:19" ht="15" customHeight="1" thickBot="1" x14ac:dyDescent="0.35">
      <c r="A31" s="54"/>
      <c r="B31" s="10" t="s">
        <v>122</v>
      </c>
      <c r="C31" s="43"/>
      <c r="D31" s="45"/>
      <c r="E31" s="45"/>
      <c r="F31" s="45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50"/>
      <c r="R31" s="50"/>
      <c r="S31" s="50"/>
    </row>
    <row r="32" spans="1:19" ht="15" customHeight="1" x14ac:dyDescent="0.3">
      <c r="A32" s="54"/>
      <c r="B32" s="11" t="s">
        <v>77</v>
      </c>
      <c r="C32" s="42" t="s">
        <v>25</v>
      </c>
      <c r="D32" s="44"/>
      <c r="E32" s="44"/>
      <c r="F32" s="44"/>
      <c r="G32" s="46">
        <f t="shared" ref="G32" si="20">SUM(D32:F32)</f>
        <v>0</v>
      </c>
      <c r="H32" s="53"/>
      <c r="I32" s="53"/>
      <c r="J32" s="53"/>
      <c r="K32" s="53"/>
      <c r="L32" s="53"/>
      <c r="M32" s="49"/>
      <c r="N32" s="49"/>
      <c r="O32" s="49"/>
      <c r="P32" s="49"/>
      <c r="Q32" s="51"/>
      <c r="R32" s="51"/>
      <c r="S32" s="51"/>
    </row>
    <row r="33" spans="1:19" ht="15" customHeight="1" thickBot="1" x14ac:dyDescent="0.35">
      <c r="A33" s="54"/>
      <c r="B33" s="11" t="s">
        <v>78</v>
      </c>
      <c r="C33" s="43"/>
      <c r="D33" s="45"/>
      <c r="E33" s="45"/>
      <c r="F33" s="45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51"/>
      <c r="R33" s="51"/>
      <c r="S33" s="51"/>
    </row>
    <row r="34" spans="1:19" ht="15" customHeight="1" x14ac:dyDescent="0.3">
      <c r="A34" s="54"/>
      <c r="B34" s="11" t="s">
        <v>76</v>
      </c>
      <c r="C34" s="42" t="s">
        <v>37</v>
      </c>
      <c r="D34" s="44">
        <v>77913</v>
      </c>
      <c r="E34" s="44">
        <v>72427</v>
      </c>
      <c r="F34" s="44">
        <v>69475</v>
      </c>
      <c r="G34" s="46">
        <f t="shared" ref="G34" si="21">SUM(D34:F34)</f>
        <v>219815</v>
      </c>
      <c r="H34" s="53"/>
      <c r="I34" s="53"/>
      <c r="J34" s="53"/>
      <c r="K34" s="53"/>
      <c r="L34" s="53"/>
      <c r="M34" s="49"/>
      <c r="N34" s="49"/>
      <c r="O34" s="49"/>
      <c r="P34" s="49"/>
      <c r="Q34" s="51"/>
      <c r="R34" s="51"/>
      <c r="S34" s="51"/>
    </row>
    <row r="35" spans="1:19" ht="15" customHeight="1" thickBot="1" x14ac:dyDescent="0.35">
      <c r="A35" s="54"/>
      <c r="B35" s="11" t="s">
        <v>120</v>
      </c>
      <c r="C35" s="43"/>
      <c r="D35" s="45"/>
      <c r="E35" s="45"/>
      <c r="F35" s="45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51"/>
      <c r="R35" s="51"/>
      <c r="S35" s="51"/>
    </row>
    <row r="36" spans="1:19" ht="15" customHeight="1" x14ac:dyDescent="0.3">
      <c r="A36" s="54">
        <v>6</v>
      </c>
      <c r="B36" s="10" t="s">
        <v>121</v>
      </c>
      <c r="C36" s="42" t="s">
        <v>27</v>
      </c>
      <c r="D36" s="44">
        <v>69898</v>
      </c>
      <c r="E36" s="44"/>
      <c r="F36" s="44">
        <v>35967</v>
      </c>
      <c r="G36" s="46">
        <f t="shared" ref="G36" si="22">SUM(D36:F36)</f>
        <v>105865</v>
      </c>
      <c r="H36" s="43">
        <f>SUM(G36:G40)</f>
        <v>105865</v>
      </c>
      <c r="I36" s="53">
        <v>369</v>
      </c>
      <c r="J36" s="53"/>
      <c r="K36" s="53">
        <v>190</v>
      </c>
      <c r="L36" s="53"/>
      <c r="M36" s="34">
        <f t="shared" ref="M36:O36" si="23">(100*D36)/$S$3</f>
        <v>77.664444444444442</v>
      </c>
      <c r="N36" s="34">
        <f t="shared" si="23"/>
        <v>0</v>
      </c>
      <c r="O36" s="34">
        <f t="shared" si="23"/>
        <v>39.963333333333331</v>
      </c>
      <c r="P36" s="34">
        <f t="shared" ref="P36" si="24">(H36*100)/$R$3</f>
        <v>39.209259259259262</v>
      </c>
      <c r="Q36" s="50" t="s">
        <v>49</v>
      </c>
      <c r="R36" s="50" t="s">
        <v>51</v>
      </c>
      <c r="S36" s="106" t="s">
        <v>52</v>
      </c>
    </row>
    <row r="37" spans="1:19" ht="15" customHeight="1" thickBot="1" x14ac:dyDescent="0.35">
      <c r="A37" s="54"/>
      <c r="B37" s="10" t="s">
        <v>122</v>
      </c>
      <c r="C37" s="43"/>
      <c r="D37" s="45"/>
      <c r="E37" s="45"/>
      <c r="F37" s="45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50"/>
      <c r="R37" s="50"/>
      <c r="S37" s="107"/>
    </row>
    <row r="38" spans="1:19" ht="15" customHeight="1" x14ac:dyDescent="0.3">
      <c r="A38" s="54"/>
      <c r="B38" s="11" t="s">
        <v>77</v>
      </c>
      <c r="C38" s="42"/>
      <c r="D38" s="44"/>
      <c r="E38" s="44"/>
      <c r="F38" s="44"/>
      <c r="G38" s="46">
        <f t="shared" ref="G38" si="25">SUM(D38:F38)</f>
        <v>0</v>
      </c>
      <c r="H38" s="53"/>
      <c r="I38" s="53"/>
      <c r="J38" s="53"/>
      <c r="K38" s="53"/>
      <c r="L38" s="53"/>
      <c r="M38" s="49"/>
      <c r="N38" s="49"/>
      <c r="O38" s="49"/>
      <c r="P38" s="49"/>
      <c r="Q38" s="51"/>
      <c r="R38" s="51"/>
      <c r="S38" s="107"/>
    </row>
    <row r="39" spans="1:19" ht="15" customHeight="1" thickBot="1" x14ac:dyDescent="0.35">
      <c r="A39" s="54"/>
      <c r="B39" s="11" t="s">
        <v>78</v>
      </c>
      <c r="C39" s="43"/>
      <c r="D39" s="45"/>
      <c r="E39" s="45"/>
      <c r="F39" s="45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51"/>
      <c r="R39" s="51"/>
      <c r="S39" s="107"/>
    </row>
    <row r="40" spans="1:19" ht="15" customHeight="1" x14ac:dyDescent="0.3">
      <c r="A40" s="54"/>
      <c r="B40" s="11" t="s">
        <v>76</v>
      </c>
      <c r="C40" s="42"/>
      <c r="D40" s="44"/>
      <c r="E40" s="44"/>
      <c r="F40" s="44"/>
      <c r="G40" s="46">
        <f t="shared" ref="G40" si="26"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51"/>
      <c r="R40" s="51"/>
      <c r="S40" s="107"/>
    </row>
    <row r="41" spans="1:19" ht="15" customHeight="1" thickBot="1" x14ac:dyDescent="0.35">
      <c r="A41" s="54"/>
      <c r="B41" s="11" t="s">
        <v>120</v>
      </c>
      <c r="C41" s="43"/>
      <c r="D41" s="45"/>
      <c r="E41" s="45"/>
      <c r="F41" s="45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51"/>
      <c r="R41" s="51"/>
      <c r="S41" s="50"/>
    </row>
    <row r="42" spans="1:19" ht="15" customHeight="1" x14ac:dyDescent="0.3">
      <c r="A42" s="54">
        <v>7</v>
      </c>
      <c r="B42" s="10" t="s">
        <v>121</v>
      </c>
      <c r="C42" s="42" t="s">
        <v>13</v>
      </c>
      <c r="D42" s="44">
        <v>69145</v>
      </c>
      <c r="E42" s="44"/>
      <c r="F42" s="44">
        <v>35262</v>
      </c>
      <c r="G42" s="46">
        <f t="shared" ref="G42" si="27">SUM(D42:F42)</f>
        <v>104407</v>
      </c>
      <c r="H42" s="43">
        <f>SUM(G42:G46)</f>
        <v>104407</v>
      </c>
      <c r="I42" s="53">
        <v>373</v>
      </c>
      <c r="J42" s="53"/>
      <c r="K42" s="53">
        <v>190</v>
      </c>
      <c r="L42" s="53"/>
      <c r="M42" s="34">
        <f t="shared" ref="M42:O42" si="28">(100*D42)/$S$3</f>
        <v>76.827777777777783</v>
      </c>
      <c r="N42" s="34">
        <f t="shared" si="28"/>
        <v>0</v>
      </c>
      <c r="O42" s="34">
        <f t="shared" si="28"/>
        <v>39.18</v>
      </c>
      <c r="P42" s="34">
        <f>(H42*100)/$R$3</f>
        <v>38.669259259259256</v>
      </c>
      <c r="Q42" s="50" t="s">
        <v>49</v>
      </c>
      <c r="R42" s="50" t="s">
        <v>51</v>
      </c>
      <c r="S42" s="106" t="s">
        <v>52</v>
      </c>
    </row>
    <row r="43" spans="1:19" ht="15" customHeight="1" thickBot="1" x14ac:dyDescent="0.35">
      <c r="A43" s="54"/>
      <c r="B43" s="10" t="s">
        <v>122</v>
      </c>
      <c r="C43" s="43"/>
      <c r="D43" s="45"/>
      <c r="E43" s="45"/>
      <c r="F43" s="45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50"/>
      <c r="R43" s="50"/>
      <c r="S43" s="107"/>
    </row>
    <row r="44" spans="1:19" ht="15" customHeight="1" x14ac:dyDescent="0.3">
      <c r="A44" s="54"/>
      <c r="B44" s="11" t="s">
        <v>77</v>
      </c>
      <c r="C44" s="42"/>
      <c r="D44" s="44"/>
      <c r="E44" s="44"/>
      <c r="F44" s="44"/>
      <c r="G44" s="46">
        <f t="shared" ref="G44" si="29"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51"/>
      <c r="R44" s="51"/>
      <c r="S44" s="107"/>
    </row>
    <row r="45" spans="1:19" ht="15" customHeight="1" thickBot="1" x14ac:dyDescent="0.35">
      <c r="A45" s="54"/>
      <c r="B45" s="11" t="s">
        <v>78</v>
      </c>
      <c r="C45" s="43"/>
      <c r="D45" s="45"/>
      <c r="E45" s="45"/>
      <c r="F45" s="45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51"/>
      <c r="R45" s="51"/>
      <c r="S45" s="107"/>
    </row>
    <row r="46" spans="1:19" ht="15" customHeight="1" x14ac:dyDescent="0.3">
      <c r="A46" s="54"/>
      <c r="B46" s="11" t="s">
        <v>76</v>
      </c>
      <c r="C46" s="42"/>
      <c r="D46" s="44"/>
      <c r="E46" s="44"/>
      <c r="F46" s="44"/>
      <c r="G46" s="46">
        <f t="shared" ref="G46" si="30"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51"/>
      <c r="R46" s="51"/>
      <c r="S46" s="107"/>
    </row>
    <row r="47" spans="1:19" ht="15" customHeight="1" thickBot="1" x14ac:dyDescent="0.35">
      <c r="A47" s="54"/>
      <c r="B47" s="11" t="s">
        <v>120</v>
      </c>
      <c r="C47" s="47"/>
      <c r="D47" s="48"/>
      <c r="E47" s="48"/>
      <c r="F47" s="48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51"/>
      <c r="R47" s="51"/>
      <c r="S47" s="50"/>
    </row>
    <row r="48" spans="1:19" ht="15" thickBot="1" x14ac:dyDescent="0.35">
      <c r="C48" s="35" t="s">
        <v>23</v>
      </c>
      <c r="D48" s="37">
        <f>SUM(D6:D47)</f>
        <v>522290</v>
      </c>
      <c r="E48" s="37">
        <f>SUM(E6:E47)</f>
        <v>347770</v>
      </c>
      <c r="F48" s="37">
        <f>SUM(F6:F47)</f>
        <v>410262</v>
      </c>
      <c r="G48" s="37">
        <f>SUM(G6:G46)</f>
        <v>1280322</v>
      </c>
      <c r="H48" s="37">
        <f>SUM(H6:H47)</f>
        <v>1280322</v>
      </c>
    </row>
    <row r="49" spans="3:16" ht="15" thickBot="1" x14ac:dyDescent="0.35">
      <c r="C49" s="36"/>
      <c r="D49" s="38"/>
      <c r="E49" s="38"/>
      <c r="F49" s="38"/>
      <c r="G49" s="38"/>
      <c r="H49" s="38"/>
      <c r="J49" s="13" t="s">
        <v>61</v>
      </c>
      <c r="K49" s="13" t="s">
        <v>62</v>
      </c>
      <c r="L49" s="102" t="s">
        <v>63</v>
      </c>
      <c r="M49" s="103"/>
      <c r="N49" s="13" t="s">
        <v>62</v>
      </c>
      <c r="O49" s="13" t="s">
        <v>64</v>
      </c>
      <c r="P49" s="13" t="s">
        <v>62</v>
      </c>
    </row>
    <row r="50" spans="3:16" x14ac:dyDescent="0.3">
      <c r="J50" s="16">
        <v>6</v>
      </c>
      <c r="K50" s="17" t="s">
        <v>65</v>
      </c>
      <c r="L50" s="104">
        <v>6</v>
      </c>
      <c r="M50" s="104"/>
      <c r="N50" s="17" t="s">
        <v>109</v>
      </c>
      <c r="O50" s="16">
        <v>6</v>
      </c>
      <c r="P50" s="17" t="s">
        <v>65</v>
      </c>
    </row>
    <row r="51" spans="3:16" x14ac:dyDescent="0.3">
      <c r="J51" s="16">
        <v>7</v>
      </c>
      <c r="K51" s="17" t="s">
        <v>65</v>
      </c>
      <c r="L51" s="104">
        <v>7</v>
      </c>
      <c r="M51" s="104"/>
      <c r="N51" s="17" t="s">
        <v>109</v>
      </c>
      <c r="O51" s="16">
        <v>7</v>
      </c>
      <c r="P51" s="17" t="s">
        <v>65</v>
      </c>
    </row>
    <row r="52" spans="3:16" x14ac:dyDescent="0.3">
      <c r="J52" s="14"/>
      <c r="K52" s="14"/>
      <c r="L52" s="105"/>
      <c r="M52" s="105"/>
      <c r="N52" s="14"/>
      <c r="O52" s="14"/>
      <c r="P52" s="14"/>
    </row>
    <row r="53" spans="3:16" x14ac:dyDescent="0.3">
      <c r="J53" s="15"/>
      <c r="K53" s="15"/>
      <c r="L53" s="15"/>
      <c r="M53" s="15"/>
      <c r="N53" s="15"/>
      <c r="O53" s="15"/>
      <c r="P53" s="15"/>
    </row>
  </sheetData>
  <mergeCells count="219">
    <mergeCell ref="G36:G37"/>
    <mergeCell ref="F36:F37"/>
    <mergeCell ref="E36:E37"/>
    <mergeCell ref="D36:D37"/>
    <mergeCell ref="C36:C37"/>
    <mergeCell ref="G46:G47"/>
    <mergeCell ref="F46:F47"/>
    <mergeCell ref="E46:E47"/>
    <mergeCell ref="D46:D47"/>
    <mergeCell ref="C46:C47"/>
    <mergeCell ref="C44:C45"/>
    <mergeCell ref="D44:D45"/>
    <mergeCell ref="E44:E45"/>
    <mergeCell ref="F44:F45"/>
    <mergeCell ref="G44:G45"/>
    <mergeCell ref="G42:G43"/>
    <mergeCell ref="F42:F43"/>
    <mergeCell ref="E42:E43"/>
    <mergeCell ref="D42:D43"/>
    <mergeCell ref="C42:C43"/>
    <mergeCell ref="G40:G41"/>
    <mergeCell ref="F40:F41"/>
    <mergeCell ref="E40:E41"/>
    <mergeCell ref="D40:D41"/>
    <mergeCell ref="C40:C41"/>
    <mergeCell ref="C38:C39"/>
    <mergeCell ref="D38:D39"/>
    <mergeCell ref="E38:E39"/>
    <mergeCell ref="F38:F39"/>
    <mergeCell ref="G38:G39"/>
    <mergeCell ref="G24:G25"/>
    <mergeCell ref="F24:F25"/>
    <mergeCell ref="E24:E25"/>
    <mergeCell ref="D24:D25"/>
    <mergeCell ref="C24:C25"/>
    <mergeCell ref="G34:G35"/>
    <mergeCell ref="F34:F35"/>
    <mergeCell ref="E34:E35"/>
    <mergeCell ref="D34:D35"/>
    <mergeCell ref="C34:C35"/>
    <mergeCell ref="C32:C33"/>
    <mergeCell ref="D32:D33"/>
    <mergeCell ref="E32:E33"/>
    <mergeCell ref="F32:F33"/>
    <mergeCell ref="G32:G33"/>
    <mergeCell ref="G30:G31"/>
    <mergeCell ref="F30:F31"/>
    <mergeCell ref="E30:E31"/>
    <mergeCell ref="D30:D31"/>
    <mergeCell ref="C30:C31"/>
    <mergeCell ref="G28:G29"/>
    <mergeCell ref="F28:F29"/>
    <mergeCell ref="E28:E29"/>
    <mergeCell ref="D28:D29"/>
    <mergeCell ref="C28:C29"/>
    <mergeCell ref="C26:C27"/>
    <mergeCell ref="D26:D27"/>
    <mergeCell ref="E26:E27"/>
    <mergeCell ref="F26:F27"/>
    <mergeCell ref="G26:G27"/>
    <mergeCell ref="E16:E17"/>
    <mergeCell ref="D16:D17"/>
    <mergeCell ref="C16:C17"/>
    <mergeCell ref="G18:G19"/>
    <mergeCell ref="F18:F19"/>
    <mergeCell ref="E18:E19"/>
    <mergeCell ref="D18:D19"/>
    <mergeCell ref="C18:C19"/>
    <mergeCell ref="C22:C23"/>
    <mergeCell ref="D22:D23"/>
    <mergeCell ref="E22:E23"/>
    <mergeCell ref="F22:F23"/>
    <mergeCell ref="G22:G23"/>
    <mergeCell ref="G20:G21"/>
    <mergeCell ref="F20:F21"/>
    <mergeCell ref="E20:E21"/>
    <mergeCell ref="D20:D21"/>
    <mergeCell ref="C20:C21"/>
    <mergeCell ref="C10:C11"/>
    <mergeCell ref="D10:D11"/>
    <mergeCell ref="E10:E11"/>
    <mergeCell ref="F10:F11"/>
    <mergeCell ref="G10:G11"/>
    <mergeCell ref="G12:G13"/>
    <mergeCell ref="F12:F13"/>
    <mergeCell ref="E12:E13"/>
    <mergeCell ref="D12:D13"/>
    <mergeCell ref="C12:C13"/>
    <mergeCell ref="G6:G7"/>
    <mergeCell ref="F6:F7"/>
    <mergeCell ref="E6:E7"/>
    <mergeCell ref="D6:D7"/>
    <mergeCell ref="C6:C7"/>
    <mergeCell ref="G8:G9"/>
    <mergeCell ref="F8:F9"/>
    <mergeCell ref="E8:E9"/>
    <mergeCell ref="D8:D9"/>
    <mergeCell ref="C8:C9"/>
    <mergeCell ref="N42:N47"/>
    <mergeCell ref="O42:O47"/>
    <mergeCell ref="L49:M49"/>
    <mergeCell ref="L50:M50"/>
    <mergeCell ref="L51:M51"/>
    <mergeCell ref="L52:M52"/>
    <mergeCell ref="C48:C49"/>
    <mergeCell ref="D48:D49"/>
    <mergeCell ref="E48:E49"/>
    <mergeCell ref="F48:F49"/>
    <mergeCell ref="G48:G49"/>
    <mergeCell ref="H48:H49"/>
    <mergeCell ref="A36:A41"/>
    <mergeCell ref="H36:H41"/>
    <mergeCell ref="I36:I41"/>
    <mergeCell ref="J36:J41"/>
    <mergeCell ref="Q36:Q41"/>
    <mergeCell ref="R36:R41"/>
    <mergeCell ref="S36:S41"/>
    <mergeCell ref="A42:A47"/>
    <mergeCell ref="H42:H47"/>
    <mergeCell ref="I42:I47"/>
    <mergeCell ref="J42:J47"/>
    <mergeCell ref="K42:K47"/>
    <mergeCell ref="L42:L47"/>
    <mergeCell ref="K36:K41"/>
    <mergeCell ref="L36:L41"/>
    <mergeCell ref="M36:M41"/>
    <mergeCell ref="N36:N41"/>
    <mergeCell ref="O36:O41"/>
    <mergeCell ref="P36:P41"/>
    <mergeCell ref="S42:S47"/>
    <mergeCell ref="P42:P47"/>
    <mergeCell ref="Q42:Q47"/>
    <mergeCell ref="R42:R47"/>
    <mergeCell ref="M42:M47"/>
    <mergeCell ref="O30:O35"/>
    <mergeCell ref="P30:P35"/>
    <mergeCell ref="Q30:Q35"/>
    <mergeCell ref="R30:R35"/>
    <mergeCell ref="S30:S35"/>
    <mergeCell ref="A24:A29"/>
    <mergeCell ref="H24:H29"/>
    <mergeCell ref="I24:I29"/>
    <mergeCell ref="J24:J29"/>
    <mergeCell ref="A30:A35"/>
    <mergeCell ref="H30:H35"/>
    <mergeCell ref="I30:I35"/>
    <mergeCell ref="J30:J35"/>
    <mergeCell ref="K30:K35"/>
    <mergeCell ref="L30:L35"/>
    <mergeCell ref="M30:M35"/>
    <mergeCell ref="N30:N35"/>
    <mergeCell ref="M24:M29"/>
    <mergeCell ref="N24:N29"/>
    <mergeCell ref="K24:K29"/>
    <mergeCell ref="L24:L29"/>
    <mergeCell ref="S24:S29"/>
    <mergeCell ref="O24:O29"/>
    <mergeCell ref="P24:P29"/>
    <mergeCell ref="K18:K23"/>
    <mergeCell ref="L18:L23"/>
    <mergeCell ref="P12:P17"/>
    <mergeCell ref="Q12:Q17"/>
    <mergeCell ref="R12:R17"/>
    <mergeCell ref="S12:S17"/>
    <mergeCell ref="A18:A23"/>
    <mergeCell ref="H18:H23"/>
    <mergeCell ref="I18:I23"/>
    <mergeCell ref="J18:J23"/>
    <mergeCell ref="Q18:Q23"/>
    <mergeCell ref="R18:R23"/>
    <mergeCell ref="S18:S23"/>
    <mergeCell ref="M18:M23"/>
    <mergeCell ref="N18:N23"/>
    <mergeCell ref="O18:O23"/>
    <mergeCell ref="P18:P23"/>
    <mergeCell ref="C14:C15"/>
    <mergeCell ref="D14:D15"/>
    <mergeCell ref="E14:E15"/>
    <mergeCell ref="F14:F15"/>
    <mergeCell ref="G14:G15"/>
    <mergeCell ref="G16:G17"/>
    <mergeCell ref="F16:F17"/>
    <mergeCell ref="Q24:Q29"/>
    <mergeCell ref="R24:R29"/>
    <mergeCell ref="A6:A11"/>
    <mergeCell ref="H6:H11"/>
    <mergeCell ref="I6:I11"/>
    <mergeCell ref="J6:J11"/>
    <mergeCell ref="K6:K11"/>
    <mergeCell ref="L6:L11"/>
    <mergeCell ref="S6:S11"/>
    <mergeCell ref="A12:A17"/>
    <mergeCell ref="H12:H17"/>
    <mergeCell ref="I12:I17"/>
    <mergeCell ref="J12:J17"/>
    <mergeCell ref="K12:K17"/>
    <mergeCell ref="L12:L17"/>
    <mergeCell ref="M12:M17"/>
    <mergeCell ref="N12:N17"/>
    <mergeCell ref="M6:M11"/>
    <mergeCell ref="N6:N11"/>
    <mergeCell ref="O6:O11"/>
    <mergeCell ref="P6:P11"/>
    <mergeCell ref="Q6:Q11"/>
    <mergeCell ref="R6:R11"/>
    <mergeCell ref="O12:O17"/>
    <mergeCell ref="A1:C3"/>
    <mergeCell ref="D1:Q3"/>
    <mergeCell ref="R1:S1"/>
    <mergeCell ref="A4:A5"/>
    <mergeCell ref="B4:B5"/>
    <mergeCell ref="C4:C5"/>
    <mergeCell ref="D4:F4"/>
    <mergeCell ref="G4:G5"/>
    <mergeCell ref="H4:H5"/>
    <mergeCell ref="I4:K4"/>
    <mergeCell ref="L4:L5"/>
    <mergeCell ref="M4:P4"/>
    <mergeCell ref="Q4:S4"/>
  </mergeCells>
  <pageMargins left="0.19685039370078741" right="0.19685039370078741" top="0.19685039370078741" bottom="0.19685039370078741" header="0.31496062992125984" footer="0.31496062992125984"/>
  <pageSetup paperSize="8" scale="99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9171-7BE9-4BFE-99F8-301E7CE01BF9}">
  <sheetPr>
    <pageSetUpPr fitToPage="1"/>
  </sheetPr>
  <dimension ref="A1:T54"/>
  <sheetViews>
    <sheetView zoomScale="85" zoomScaleNormal="85" workbookViewId="0">
      <selection activeCell="B6" sqref="B6:B47"/>
    </sheetView>
  </sheetViews>
  <sheetFormatPr defaultRowHeight="14.4" x14ac:dyDescent="0.3"/>
  <cols>
    <col min="1" max="1" width="7.88671875" customWidth="1"/>
    <col min="2" max="2" width="12.886718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7" width="12.88671875" customWidth="1"/>
    <col min="18" max="20" width="20.77734375" customWidth="1"/>
  </cols>
  <sheetData>
    <row r="1" spans="1:20" ht="15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9" t="s">
        <v>53</v>
      </c>
      <c r="T1" s="90"/>
    </row>
    <row r="2" spans="1:20" ht="15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7" t="s">
        <v>19</v>
      </c>
      <c r="T2" s="7" t="s">
        <v>20</v>
      </c>
    </row>
    <row r="3" spans="1:20" ht="15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8"/>
      <c r="S3" s="8">
        <v>270000</v>
      </c>
      <c r="T3" s="6">
        <v>90000</v>
      </c>
    </row>
    <row r="4" spans="1:20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1" t="s">
        <v>75</v>
      </c>
      <c r="R4" s="66" t="s">
        <v>11</v>
      </c>
      <c r="S4" s="67"/>
      <c r="T4" s="68"/>
    </row>
    <row r="5" spans="1:20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21" t="s">
        <v>10</v>
      </c>
      <c r="Q5" s="97"/>
      <c r="R5" s="1" t="s">
        <v>4</v>
      </c>
      <c r="S5" s="2" t="s">
        <v>5</v>
      </c>
      <c r="T5" s="3" t="s">
        <v>6</v>
      </c>
    </row>
    <row r="6" spans="1:20" ht="15" customHeight="1" x14ac:dyDescent="0.3">
      <c r="A6" s="59">
        <v>1</v>
      </c>
      <c r="B6" s="10" t="s">
        <v>121</v>
      </c>
      <c r="C6" s="46" t="s">
        <v>12</v>
      </c>
      <c r="D6" s="70">
        <v>74148</v>
      </c>
      <c r="E6" s="70">
        <v>69003</v>
      </c>
      <c r="F6" s="70">
        <v>70027</v>
      </c>
      <c r="G6" s="46">
        <f>SUM(D6:F6)</f>
        <v>213178</v>
      </c>
      <c r="H6" s="43">
        <f>SUM(G6:G10)</f>
        <v>213178</v>
      </c>
      <c r="I6" s="43"/>
      <c r="J6" s="43">
        <v>393</v>
      </c>
      <c r="K6" s="43">
        <v>384</v>
      </c>
      <c r="L6" s="43"/>
      <c r="M6" s="34">
        <f>(100*D6)/$T$3</f>
        <v>82.38666666666667</v>
      </c>
      <c r="N6" s="34">
        <f t="shared" ref="N6:O6" si="0">(100*E6)/$T$3</f>
        <v>76.67</v>
      </c>
      <c r="O6" s="34">
        <f t="shared" si="0"/>
        <v>77.807777777777773</v>
      </c>
      <c r="P6" s="34">
        <f>(H6*100)/$S$3</f>
        <v>78.95481481481481</v>
      </c>
      <c r="Q6" s="60"/>
      <c r="R6" s="50" t="s">
        <v>59</v>
      </c>
      <c r="S6" s="50" t="s">
        <v>59</v>
      </c>
      <c r="T6" s="50" t="s">
        <v>59</v>
      </c>
    </row>
    <row r="7" spans="1:20" ht="15" customHeight="1" thickBot="1" x14ac:dyDescent="0.35">
      <c r="A7" s="59"/>
      <c r="B7" s="10" t="s">
        <v>122</v>
      </c>
      <c r="C7" s="43"/>
      <c r="D7" s="45"/>
      <c r="E7" s="45"/>
      <c r="F7" s="45"/>
      <c r="G7" s="43"/>
      <c r="H7" s="43"/>
      <c r="I7" s="43"/>
      <c r="J7" s="43"/>
      <c r="K7" s="43"/>
      <c r="L7" s="43"/>
      <c r="M7" s="34"/>
      <c r="N7" s="34"/>
      <c r="O7" s="34"/>
      <c r="P7" s="34"/>
      <c r="Q7" s="33"/>
      <c r="R7" s="50"/>
      <c r="S7" s="50"/>
      <c r="T7" s="50"/>
    </row>
    <row r="8" spans="1:20" ht="15" customHeight="1" x14ac:dyDescent="0.3">
      <c r="A8" s="54"/>
      <c r="B8" s="11" t="s">
        <v>77</v>
      </c>
      <c r="C8" s="42"/>
      <c r="D8" s="44"/>
      <c r="E8" s="44"/>
      <c r="F8" s="44"/>
      <c r="G8" s="46">
        <f t="shared" ref="G8" si="1">SUM(D8:F8)</f>
        <v>0</v>
      </c>
      <c r="H8" s="53"/>
      <c r="I8" s="53"/>
      <c r="J8" s="53"/>
      <c r="K8" s="53"/>
      <c r="L8" s="53"/>
      <c r="M8" s="49"/>
      <c r="N8" s="49"/>
      <c r="O8" s="49"/>
      <c r="P8" s="49"/>
      <c r="Q8" s="33"/>
      <c r="R8" s="51"/>
      <c r="S8" s="51"/>
      <c r="T8" s="51"/>
    </row>
    <row r="9" spans="1:20" ht="15" customHeight="1" thickBot="1" x14ac:dyDescent="0.35">
      <c r="A9" s="54"/>
      <c r="B9" s="11" t="s">
        <v>78</v>
      </c>
      <c r="C9" s="43"/>
      <c r="D9" s="45"/>
      <c r="E9" s="45"/>
      <c r="F9" s="45"/>
      <c r="G9" s="43"/>
      <c r="H9" s="53"/>
      <c r="I9" s="53"/>
      <c r="J9" s="53"/>
      <c r="K9" s="53"/>
      <c r="L9" s="53"/>
      <c r="M9" s="49"/>
      <c r="N9" s="49"/>
      <c r="O9" s="49"/>
      <c r="P9" s="49"/>
      <c r="Q9" s="33"/>
      <c r="R9" s="51"/>
      <c r="S9" s="51"/>
      <c r="T9" s="51"/>
    </row>
    <row r="10" spans="1:20" ht="15" customHeight="1" x14ac:dyDescent="0.3">
      <c r="A10" s="54"/>
      <c r="B10" s="11" t="s">
        <v>76</v>
      </c>
      <c r="C10" s="42"/>
      <c r="D10" s="44"/>
      <c r="E10" s="44"/>
      <c r="F10" s="44"/>
      <c r="G10" s="46">
        <f t="shared" ref="G10" si="2">SUM(D10:F10)</f>
        <v>0</v>
      </c>
      <c r="H10" s="53"/>
      <c r="I10" s="53"/>
      <c r="J10" s="53"/>
      <c r="K10" s="53"/>
      <c r="L10" s="53"/>
      <c r="M10" s="49"/>
      <c r="N10" s="49"/>
      <c r="O10" s="49"/>
      <c r="P10" s="49"/>
      <c r="Q10" s="33"/>
      <c r="R10" s="51"/>
      <c r="S10" s="51"/>
      <c r="T10" s="51"/>
    </row>
    <row r="11" spans="1:20" ht="15" customHeight="1" thickBot="1" x14ac:dyDescent="0.35">
      <c r="A11" s="54"/>
      <c r="B11" s="11" t="s">
        <v>120</v>
      </c>
      <c r="C11" s="43"/>
      <c r="D11" s="45"/>
      <c r="E11" s="45"/>
      <c r="F11" s="45"/>
      <c r="G11" s="43"/>
      <c r="H11" s="53"/>
      <c r="I11" s="53"/>
      <c r="J11" s="53"/>
      <c r="K11" s="53"/>
      <c r="L11" s="53"/>
      <c r="M11" s="49"/>
      <c r="N11" s="49"/>
      <c r="O11" s="49"/>
      <c r="P11" s="49"/>
      <c r="Q11" s="34"/>
      <c r="R11" s="51"/>
      <c r="S11" s="51"/>
      <c r="T11" s="51"/>
    </row>
    <row r="12" spans="1:20" ht="15" customHeight="1" x14ac:dyDescent="0.3">
      <c r="A12" s="54">
        <v>2</v>
      </c>
      <c r="B12" s="10" t="s">
        <v>121</v>
      </c>
      <c r="C12" s="42" t="s">
        <v>12</v>
      </c>
      <c r="D12" s="44">
        <v>73059</v>
      </c>
      <c r="E12" s="44">
        <v>67022</v>
      </c>
      <c r="F12" s="44">
        <v>70043</v>
      </c>
      <c r="G12" s="46">
        <f t="shared" ref="G12" si="3">SUM(D12:F12)</f>
        <v>210124</v>
      </c>
      <c r="H12" s="43">
        <f>SUM(G12:G16)</f>
        <v>210124</v>
      </c>
      <c r="I12" s="53">
        <v>422</v>
      </c>
      <c r="J12" s="53">
        <v>385</v>
      </c>
      <c r="K12" s="53">
        <v>389</v>
      </c>
      <c r="L12" s="53"/>
      <c r="M12" s="34">
        <f>(100*D12)/$T$3</f>
        <v>81.176666666666662</v>
      </c>
      <c r="N12" s="34">
        <f t="shared" ref="N12:O12" si="4">(100*E12)/$T$3</f>
        <v>74.468888888888884</v>
      </c>
      <c r="O12" s="34">
        <f t="shared" si="4"/>
        <v>77.825555555555553</v>
      </c>
      <c r="P12" s="34">
        <f>(H12*100)/$S$3</f>
        <v>77.8237037037037</v>
      </c>
      <c r="Q12" s="60"/>
      <c r="R12" s="50" t="s">
        <v>59</v>
      </c>
      <c r="S12" s="108" t="s">
        <v>56</v>
      </c>
      <c r="T12" s="50" t="s">
        <v>59</v>
      </c>
    </row>
    <row r="13" spans="1:20" ht="15" customHeight="1" thickBot="1" x14ac:dyDescent="0.35">
      <c r="A13" s="54"/>
      <c r="B13" s="10" t="s">
        <v>122</v>
      </c>
      <c r="C13" s="43"/>
      <c r="D13" s="45"/>
      <c r="E13" s="45"/>
      <c r="F13" s="45"/>
      <c r="G13" s="43"/>
      <c r="H13" s="43"/>
      <c r="I13" s="53"/>
      <c r="J13" s="53"/>
      <c r="K13" s="53"/>
      <c r="L13" s="53"/>
      <c r="M13" s="34"/>
      <c r="N13" s="34"/>
      <c r="O13" s="34"/>
      <c r="P13" s="34"/>
      <c r="Q13" s="33"/>
      <c r="R13" s="50"/>
      <c r="S13" s="107"/>
      <c r="T13" s="50"/>
    </row>
    <row r="14" spans="1:20" ht="15" customHeight="1" x14ac:dyDescent="0.3">
      <c r="A14" s="54"/>
      <c r="B14" s="11" t="s">
        <v>77</v>
      </c>
      <c r="C14" s="42"/>
      <c r="D14" s="44"/>
      <c r="E14" s="44"/>
      <c r="F14" s="44"/>
      <c r="G14" s="46">
        <f t="shared" ref="G14" si="5">SUM(D14:F14)</f>
        <v>0</v>
      </c>
      <c r="H14" s="53"/>
      <c r="I14" s="53"/>
      <c r="J14" s="53"/>
      <c r="K14" s="53"/>
      <c r="L14" s="53"/>
      <c r="M14" s="49"/>
      <c r="N14" s="49"/>
      <c r="O14" s="49"/>
      <c r="P14" s="49"/>
      <c r="Q14" s="33"/>
      <c r="R14" s="51"/>
      <c r="S14" s="107"/>
      <c r="T14" s="51"/>
    </row>
    <row r="15" spans="1:20" ht="15" customHeight="1" thickBot="1" x14ac:dyDescent="0.35">
      <c r="A15" s="54"/>
      <c r="B15" s="11" t="s">
        <v>78</v>
      </c>
      <c r="C15" s="43"/>
      <c r="D15" s="45"/>
      <c r="E15" s="45"/>
      <c r="F15" s="45"/>
      <c r="G15" s="43"/>
      <c r="H15" s="53"/>
      <c r="I15" s="53"/>
      <c r="J15" s="53"/>
      <c r="K15" s="53"/>
      <c r="L15" s="53"/>
      <c r="M15" s="49"/>
      <c r="N15" s="49"/>
      <c r="O15" s="49"/>
      <c r="P15" s="49"/>
      <c r="Q15" s="33"/>
      <c r="R15" s="51"/>
      <c r="S15" s="107"/>
      <c r="T15" s="51"/>
    </row>
    <row r="16" spans="1:20" ht="15" customHeight="1" x14ac:dyDescent="0.3">
      <c r="A16" s="54"/>
      <c r="B16" s="11" t="s">
        <v>76</v>
      </c>
      <c r="C16" s="42"/>
      <c r="D16" s="44"/>
      <c r="E16" s="44"/>
      <c r="F16" s="44"/>
      <c r="G16" s="46">
        <f t="shared" ref="G16" si="6">SUM(D16:F16)</f>
        <v>0</v>
      </c>
      <c r="H16" s="53"/>
      <c r="I16" s="53"/>
      <c r="J16" s="53"/>
      <c r="K16" s="53"/>
      <c r="L16" s="53"/>
      <c r="M16" s="49"/>
      <c r="N16" s="49"/>
      <c r="O16" s="49"/>
      <c r="P16" s="49"/>
      <c r="Q16" s="33"/>
      <c r="R16" s="51"/>
      <c r="S16" s="107"/>
      <c r="T16" s="51"/>
    </row>
    <row r="17" spans="1:20" ht="15" customHeight="1" thickBot="1" x14ac:dyDescent="0.35">
      <c r="A17" s="54"/>
      <c r="B17" s="11" t="s">
        <v>120</v>
      </c>
      <c r="C17" s="43"/>
      <c r="D17" s="45"/>
      <c r="E17" s="45"/>
      <c r="F17" s="45"/>
      <c r="G17" s="43"/>
      <c r="H17" s="53"/>
      <c r="I17" s="53"/>
      <c r="J17" s="53"/>
      <c r="K17" s="53"/>
      <c r="L17" s="53"/>
      <c r="M17" s="49"/>
      <c r="N17" s="49"/>
      <c r="O17" s="49"/>
      <c r="P17" s="49"/>
      <c r="Q17" s="34"/>
      <c r="R17" s="51"/>
      <c r="S17" s="50"/>
      <c r="T17" s="51"/>
    </row>
    <row r="18" spans="1:20" ht="15" customHeight="1" x14ac:dyDescent="0.3">
      <c r="A18" s="54">
        <v>3</v>
      </c>
      <c r="B18" s="10" t="s">
        <v>121</v>
      </c>
      <c r="C18" s="42" t="s">
        <v>12</v>
      </c>
      <c r="D18" s="44">
        <v>74355</v>
      </c>
      <c r="E18" s="44">
        <v>73182</v>
      </c>
      <c r="F18" s="44">
        <v>75244</v>
      </c>
      <c r="G18" s="46">
        <f t="shared" ref="G18" si="7">SUM(D18:F18)</f>
        <v>222781</v>
      </c>
      <c r="H18" s="43">
        <f>SUM(G18:G22)</f>
        <v>222781</v>
      </c>
      <c r="I18" s="53"/>
      <c r="J18" s="53"/>
      <c r="K18" s="53"/>
      <c r="L18" s="53"/>
      <c r="M18" s="34">
        <f t="shared" ref="M18:O18" si="8">(100*D18)/$T$3</f>
        <v>82.61666666666666</v>
      </c>
      <c r="N18" s="34">
        <f t="shared" si="8"/>
        <v>81.313333333333333</v>
      </c>
      <c r="O18" s="34">
        <f t="shared" si="8"/>
        <v>83.604444444444439</v>
      </c>
      <c r="P18" s="34">
        <f t="shared" ref="P18" si="9">(H18*100)/$S$3</f>
        <v>82.511481481481482</v>
      </c>
      <c r="Q18" s="60"/>
      <c r="R18" s="50" t="s">
        <v>59</v>
      </c>
      <c r="S18" s="50" t="s">
        <v>59</v>
      </c>
      <c r="T18" s="50" t="s">
        <v>59</v>
      </c>
    </row>
    <row r="19" spans="1:20" ht="15" customHeight="1" thickBot="1" x14ac:dyDescent="0.35">
      <c r="A19" s="54"/>
      <c r="B19" s="10" t="s">
        <v>122</v>
      </c>
      <c r="C19" s="43"/>
      <c r="D19" s="45"/>
      <c r="E19" s="45"/>
      <c r="F19" s="45"/>
      <c r="G19" s="43"/>
      <c r="H19" s="43"/>
      <c r="I19" s="53"/>
      <c r="J19" s="53"/>
      <c r="K19" s="53"/>
      <c r="L19" s="53"/>
      <c r="M19" s="34"/>
      <c r="N19" s="34"/>
      <c r="O19" s="34"/>
      <c r="P19" s="34"/>
      <c r="Q19" s="33"/>
      <c r="R19" s="50"/>
      <c r="S19" s="50"/>
      <c r="T19" s="50"/>
    </row>
    <row r="20" spans="1:20" ht="15" customHeight="1" x14ac:dyDescent="0.3">
      <c r="A20" s="54"/>
      <c r="B20" s="11" t="s">
        <v>77</v>
      </c>
      <c r="C20" s="42"/>
      <c r="D20" s="44"/>
      <c r="E20" s="44"/>
      <c r="F20" s="44"/>
      <c r="G20" s="46">
        <f t="shared" ref="G20" si="10">SUM(D20:F20)</f>
        <v>0</v>
      </c>
      <c r="H20" s="53"/>
      <c r="I20" s="53"/>
      <c r="J20" s="53"/>
      <c r="K20" s="53"/>
      <c r="L20" s="53"/>
      <c r="M20" s="49"/>
      <c r="N20" s="49"/>
      <c r="O20" s="49"/>
      <c r="P20" s="49"/>
      <c r="Q20" s="33"/>
      <c r="R20" s="51"/>
      <c r="S20" s="51"/>
      <c r="T20" s="51"/>
    </row>
    <row r="21" spans="1:20" ht="15" customHeight="1" thickBot="1" x14ac:dyDescent="0.35">
      <c r="A21" s="54"/>
      <c r="B21" s="11" t="s">
        <v>78</v>
      </c>
      <c r="C21" s="43"/>
      <c r="D21" s="45"/>
      <c r="E21" s="45"/>
      <c r="F21" s="45"/>
      <c r="G21" s="43"/>
      <c r="H21" s="53"/>
      <c r="I21" s="53"/>
      <c r="J21" s="53"/>
      <c r="K21" s="53"/>
      <c r="L21" s="53"/>
      <c r="M21" s="49"/>
      <c r="N21" s="49"/>
      <c r="O21" s="49"/>
      <c r="P21" s="49"/>
      <c r="Q21" s="33"/>
      <c r="R21" s="51"/>
      <c r="S21" s="51"/>
      <c r="T21" s="51"/>
    </row>
    <row r="22" spans="1:20" ht="15" customHeight="1" x14ac:dyDescent="0.3">
      <c r="A22" s="54"/>
      <c r="B22" s="11" t="s">
        <v>76</v>
      </c>
      <c r="C22" s="42"/>
      <c r="D22" s="44"/>
      <c r="E22" s="44"/>
      <c r="F22" s="44"/>
      <c r="G22" s="46">
        <f t="shared" ref="G22" si="11">SUM(D22:F22)</f>
        <v>0</v>
      </c>
      <c r="H22" s="53"/>
      <c r="I22" s="53"/>
      <c r="J22" s="53"/>
      <c r="K22" s="53"/>
      <c r="L22" s="53"/>
      <c r="M22" s="49"/>
      <c r="N22" s="49"/>
      <c r="O22" s="49"/>
      <c r="P22" s="49"/>
      <c r="Q22" s="33"/>
      <c r="R22" s="51"/>
      <c r="S22" s="51"/>
      <c r="T22" s="51"/>
    </row>
    <row r="23" spans="1:20" ht="15" customHeight="1" thickBot="1" x14ac:dyDescent="0.35">
      <c r="A23" s="54"/>
      <c r="B23" s="11" t="s">
        <v>120</v>
      </c>
      <c r="C23" s="43"/>
      <c r="D23" s="45"/>
      <c r="E23" s="45"/>
      <c r="F23" s="45"/>
      <c r="G23" s="43"/>
      <c r="H23" s="53"/>
      <c r="I23" s="53"/>
      <c r="J23" s="53"/>
      <c r="K23" s="53"/>
      <c r="L23" s="53"/>
      <c r="M23" s="49"/>
      <c r="N23" s="49"/>
      <c r="O23" s="49"/>
      <c r="P23" s="49"/>
      <c r="Q23" s="34"/>
      <c r="R23" s="51"/>
      <c r="S23" s="51"/>
      <c r="T23" s="51"/>
    </row>
    <row r="24" spans="1:20" ht="15" customHeight="1" x14ac:dyDescent="0.3">
      <c r="A24" s="54">
        <v>4</v>
      </c>
      <c r="B24" s="10" t="s">
        <v>121</v>
      </c>
      <c r="C24" s="42" t="s">
        <v>12</v>
      </c>
      <c r="D24" s="44"/>
      <c r="E24" s="44"/>
      <c r="F24" s="44"/>
      <c r="G24" s="46">
        <f t="shared" ref="G24" si="12">SUM(D24:F24)</f>
        <v>0</v>
      </c>
      <c r="H24" s="43">
        <f t="shared" ref="H24" si="13">SUM(G24:G29)</f>
        <v>216111</v>
      </c>
      <c r="I24" s="53">
        <v>422</v>
      </c>
      <c r="J24" s="53">
        <v>393</v>
      </c>
      <c r="K24" s="53">
        <v>385</v>
      </c>
      <c r="L24" s="53"/>
      <c r="M24" s="34">
        <f t="shared" ref="M24:O24" si="14">(100*D24)/$T$3</f>
        <v>0</v>
      </c>
      <c r="N24" s="34">
        <f t="shared" si="14"/>
        <v>0</v>
      </c>
      <c r="O24" s="34">
        <f t="shared" si="14"/>
        <v>0</v>
      </c>
      <c r="P24" s="34">
        <f t="shared" ref="P24" si="15">(H24*100)/$S$3</f>
        <v>80.041111111111107</v>
      </c>
      <c r="Q24" s="60"/>
      <c r="R24" s="50" t="s">
        <v>59</v>
      </c>
      <c r="S24" s="50" t="s">
        <v>59</v>
      </c>
      <c r="T24" s="50" t="s">
        <v>59</v>
      </c>
    </row>
    <row r="25" spans="1:20" ht="15" customHeight="1" thickBot="1" x14ac:dyDescent="0.35">
      <c r="A25" s="54"/>
      <c r="B25" s="10" t="s">
        <v>122</v>
      </c>
      <c r="C25" s="43"/>
      <c r="D25" s="45"/>
      <c r="E25" s="45"/>
      <c r="F25" s="45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33"/>
      <c r="R25" s="50"/>
      <c r="S25" s="50"/>
      <c r="T25" s="50"/>
    </row>
    <row r="26" spans="1:20" ht="15" customHeight="1" x14ac:dyDescent="0.3">
      <c r="A26" s="54"/>
      <c r="B26" s="11" t="s">
        <v>77</v>
      </c>
      <c r="C26" s="42"/>
      <c r="D26" s="44"/>
      <c r="E26" s="44"/>
      <c r="F26" s="44"/>
      <c r="G26" s="46">
        <f t="shared" ref="G26" si="16">SUM(D26:F26)</f>
        <v>0</v>
      </c>
      <c r="H26" s="43"/>
      <c r="I26" s="53"/>
      <c r="J26" s="53"/>
      <c r="K26" s="53"/>
      <c r="L26" s="53"/>
      <c r="M26" s="34"/>
      <c r="N26" s="34"/>
      <c r="O26" s="34"/>
      <c r="P26" s="34"/>
      <c r="Q26" s="33"/>
      <c r="R26" s="50"/>
      <c r="S26" s="50"/>
      <c r="T26" s="50"/>
    </row>
    <row r="27" spans="1:20" ht="15" customHeight="1" thickBot="1" x14ac:dyDescent="0.35">
      <c r="A27" s="54"/>
      <c r="B27" s="11" t="s">
        <v>78</v>
      </c>
      <c r="C27" s="43"/>
      <c r="D27" s="45"/>
      <c r="E27" s="45"/>
      <c r="F27" s="45"/>
      <c r="G27" s="43"/>
      <c r="H27" s="43"/>
      <c r="I27" s="53"/>
      <c r="J27" s="53"/>
      <c r="K27" s="53"/>
      <c r="L27" s="53"/>
      <c r="M27" s="34"/>
      <c r="N27" s="34"/>
      <c r="O27" s="34"/>
      <c r="P27" s="34"/>
      <c r="Q27" s="33"/>
      <c r="R27" s="50"/>
      <c r="S27" s="50"/>
      <c r="T27" s="50"/>
    </row>
    <row r="28" spans="1:20" ht="15" customHeight="1" x14ac:dyDescent="0.3">
      <c r="A28" s="54"/>
      <c r="B28" s="11" t="s">
        <v>76</v>
      </c>
      <c r="C28" s="42" t="s">
        <v>37</v>
      </c>
      <c r="D28" s="44">
        <v>74446</v>
      </c>
      <c r="E28" s="44">
        <v>70319</v>
      </c>
      <c r="F28" s="44">
        <v>71346</v>
      </c>
      <c r="G28" s="46">
        <f t="shared" ref="G28" si="17">SUM(D28:F28)</f>
        <v>216111</v>
      </c>
      <c r="H28" s="53"/>
      <c r="I28" s="53"/>
      <c r="J28" s="53"/>
      <c r="K28" s="53"/>
      <c r="L28" s="53"/>
      <c r="M28" s="49"/>
      <c r="N28" s="49"/>
      <c r="O28" s="49"/>
      <c r="P28" s="49"/>
      <c r="Q28" s="33"/>
      <c r="R28" s="51"/>
      <c r="S28" s="51"/>
      <c r="T28" s="51"/>
    </row>
    <row r="29" spans="1:20" ht="15" customHeight="1" thickBot="1" x14ac:dyDescent="0.35">
      <c r="A29" s="54"/>
      <c r="B29" s="11" t="s">
        <v>120</v>
      </c>
      <c r="C29" s="43"/>
      <c r="D29" s="45"/>
      <c r="E29" s="45"/>
      <c r="F29" s="45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34"/>
      <c r="R29" s="51"/>
      <c r="S29" s="51"/>
      <c r="T29" s="51"/>
    </row>
    <row r="30" spans="1:20" ht="15" customHeight="1" x14ac:dyDescent="0.3">
      <c r="A30" s="54">
        <v>5</v>
      </c>
      <c r="B30" s="10" t="s">
        <v>121</v>
      </c>
      <c r="C30" s="42" t="s">
        <v>12</v>
      </c>
      <c r="D30" s="44"/>
      <c r="E30" s="44"/>
      <c r="F30" s="44"/>
      <c r="G30" s="46">
        <f t="shared" ref="G30" si="18">SUM(D30:F30)</f>
        <v>0</v>
      </c>
      <c r="H30" s="43">
        <f>SUM(G30:G34)</f>
        <v>225569</v>
      </c>
      <c r="I30" s="53">
        <v>423</v>
      </c>
      <c r="J30" s="53">
        <v>400</v>
      </c>
      <c r="K30" s="53">
        <v>387</v>
      </c>
      <c r="L30" s="53"/>
      <c r="M30" s="34">
        <f t="shared" ref="M30:O30" si="19">(100*D30)/$T$3</f>
        <v>0</v>
      </c>
      <c r="N30" s="34">
        <f t="shared" si="19"/>
        <v>0</v>
      </c>
      <c r="O30" s="34">
        <f t="shared" si="19"/>
        <v>0</v>
      </c>
      <c r="P30" s="34">
        <f t="shared" ref="P30" si="20">(H30*100)/$S$3</f>
        <v>83.544074074074075</v>
      </c>
      <c r="Q30" s="60"/>
      <c r="R30" s="50" t="s">
        <v>59</v>
      </c>
      <c r="S30" s="50" t="s">
        <v>59</v>
      </c>
      <c r="T30" s="50" t="s">
        <v>59</v>
      </c>
    </row>
    <row r="31" spans="1:20" ht="15" customHeight="1" thickBot="1" x14ac:dyDescent="0.35">
      <c r="A31" s="54"/>
      <c r="B31" s="10" t="s">
        <v>122</v>
      </c>
      <c r="C31" s="43"/>
      <c r="D31" s="45"/>
      <c r="E31" s="45"/>
      <c r="F31" s="45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33"/>
      <c r="R31" s="50"/>
      <c r="S31" s="50"/>
      <c r="T31" s="50"/>
    </row>
    <row r="32" spans="1:20" ht="15" customHeight="1" x14ac:dyDescent="0.3">
      <c r="A32" s="54"/>
      <c r="B32" s="11" t="s">
        <v>77</v>
      </c>
      <c r="C32" s="42" t="s">
        <v>25</v>
      </c>
      <c r="D32" s="44"/>
      <c r="E32" s="44"/>
      <c r="F32" s="44"/>
      <c r="G32" s="46">
        <f t="shared" ref="G32" si="21">SUM(D32:F32)</f>
        <v>0</v>
      </c>
      <c r="H32" s="53"/>
      <c r="I32" s="53"/>
      <c r="J32" s="53"/>
      <c r="K32" s="53"/>
      <c r="L32" s="53"/>
      <c r="M32" s="49"/>
      <c r="N32" s="49"/>
      <c r="O32" s="49"/>
      <c r="P32" s="49"/>
      <c r="Q32" s="33"/>
      <c r="R32" s="51"/>
      <c r="S32" s="51"/>
      <c r="T32" s="51"/>
    </row>
    <row r="33" spans="1:20" ht="15" customHeight="1" thickBot="1" x14ac:dyDescent="0.35">
      <c r="A33" s="54"/>
      <c r="B33" s="11" t="s">
        <v>78</v>
      </c>
      <c r="C33" s="43"/>
      <c r="D33" s="45"/>
      <c r="E33" s="45"/>
      <c r="F33" s="45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33"/>
      <c r="R33" s="51"/>
      <c r="S33" s="51"/>
      <c r="T33" s="51"/>
    </row>
    <row r="34" spans="1:20" ht="15" customHeight="1" x14ac:dyDescent="0.3">
      <c r="A34" s="54"/>
      <c r="B34" s="11" t="s">
        <v>76</v>
      </c>
      <c r="C34" s="42" t="s">
        <v>37</v>
      </c>
      <c r="D34" s="44">
        <v>78004</v>
      </c>
      <c r="E34" s="44">
        <v>73662</v>
      </c>
      <c r="F34" s="44">
        <v>73903</v>
      </c>
      <c r="G34" s="46">
        <f t="shared" ref="G34" si="22">SUM(D34:F34)</f>
        <v>225569</v>
      </c>
      <c r="H34" s="53"/>
      <c r="I34" s="53"/>
      <c r="J34" s="53"/>
      <c r="K34" s="53"/>
      <c r="L34" s="53"/>
      <c r="M34" s="49"/>
      <c r="N34" s="49"/>
      <c r="O34" s="49"/>
      <c r="P34" s="49"/>
      <c r="Q34" s="33"/>
      <c r="R34" s="51"/>
      <c r="S34" s="51"/>
      <c r="T34" s="51"/>
    </row>
    <row r="35" spans="1:20" ht="15" customHeight="1" thickBot="1" x14ac:dyDescent="0.35">
      <c r="A35" s="54"/>
      <c r="B35" s="11" t="s">
        <v>120</v>
      </c>
      <c r="C35" s="43"/>
      <c r="D35" s="45"/>
      <c r="E35" s="45"/>
      <c r="F35" s="45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34"/>
      <c r="R35" s="51"/>
      <c r="S35" s="51"/>
      <c r="T35" s="51"/>
    </row>
    <row r="36" spans="1:20" ht="15" customHeight="1" x14ac:dyDescent="0.3">
      <c r="A36" s="54">
        <v>6</v>
      </c>
      <c r="B36" s="10" t="s">
        <v>121</v>
      </c>
      <c r="C36" s="42" t="s">
        <v>27</v>
      </c>
      <c r="D36" s="44">
        <v>56201</v>
      </c>
      <c r="E36" s="44"/>
      <c r="F36" s="44">
        <v>40860</v>
      </c>
      <c r="G36" s="46">
        <f t="shared" ref="G36" si="23">SUM(D36:F36)</f>
        <v>97061</v>
      </c>
      <c r="H36" s="43">
        <f>SUM(G36:G40)</f>
        <v>97061</v>
      </c>
      <c r="I36" s="53">
        <v>297</v>
      </c>
      <c r="J36" s="53"/>
      <c r="K36" s="53">
        <v>216</v>
      </c>
      <c r="L36" s="53"/>
      <c r="M36" s="34">
        <f t="shared" ref="M36:O36" si="24">(100*D36)/$T$3</f>
        <v>62.445555555555558</v>
      </c>
      <c r="N36" s="34">
        <f t="shared" si="24"/>
        <v>0</v>
      </c>
      <c r="O36" s="34">
        <f t="shared" si="24"/>
        <v>45.4</v>
      </c>
      <c r="P36" s="34">
        <f t="shared" ref="P36" si="25">(H36*100)/$S$3</f>
        <v>35.948518518518519</v>
      </c>
      <c r="Q36" s="60"/>
      <c r="R36" s="50" t="s">
        <v>54</v>
      </c>
      <c r="S36" s="50" t="s">
        <v>57</v>
      </c>
      <c r="T36" s="106" t="s">
        <v>58</v>
      </c>
    </row>
    <row r="37" spans="1:20" ht="15" customHeight="1" thickBot="1" x14ac:dyDescent="0.35">
      <c r="A37" s="54"/>
      <c r="B37" s="10" t="s">
        <v>122</v>
      </c>
      <c r="C37" s="43"/>
      <c r="D37" s="45"/>
      <c r="E37" s="45"/>
      <c r="F37" s="45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33"/>
      <c r="R37" s="50"/>
      <c r="S37" s="50"/>
      <c r="T37" s="107"/>
    </row>
    <row r="38" spans="1:20" ht="15" customHeight="1" x14ac:dyDescent="0.3">
      <c r="A38" s="54"/>
      <c r="B38" s="11" t="s">
        <v>77</v>
      </c>
      <c r="C38" s="42"/>
      <c r="D38" s="44"/>
      <c r="E38" s="44"/>
      <c r="F38" s="44"/>
      <c r="G38" s="46">
        <f t="shared" ref="G38" si="26">SUM(D38:F38)</f>
        <v>0</v>
      </c>
      <c r="H38" s="53"/>
      <c r="I38" s="53"/>
      <c r="J38" s="53"/>
      <c r="K38" s="53"/>
      <c r="L38" s="53"/>
      <c r="M38" s="49"/>
      <c r="N38" s="49"/>
      <c r="O38" s="49"/>
      <c r="P38" s="49"/>
      <c r="Q38" s="33"/>
      <c r="R38" s="51"/>
      <c r="S38" s="51"/>
      <c r="T38" s="107"/>
    </row>
    <row r="39" spans="1:20" ht="15" customHeight="1" thickBot="1" x14ac:dyDescent="0.35">
      <c r="A39" s="54"/>
      <c r="B39" s="11" t="s">
        <v>78</v>
      </c>
      <c r="C39" s="43"/>
      <c r="D39" s="45"/>
      <c r="E39" s="45"/>
      <c r="F39" s="45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33"/>
      <c r="R39" s="51"/>
      <c r="S39" s="51"/>
      <c r="T39" s="107"/>
    </row>
    <row r="40" spans="1:20" ht="15" customHeight="1" x14ac:dyDescent="0.3">
      <c r="A40" s="54"/>
      <c r="B40" s="11" t="s">
        <v>76</v>
      </c>
      <c r="C40" s="42"/>
      <c r="D40" s="44"/>
      <c r="E40" s="44"/>
      <c r="F40" s="44"/>
      <c r="G40" s="46">
        <f t="shared" ref="G40" si="27"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33"/>
      <c r="R40" s="51"/>
      <c r="S40" s="51"/>
      <c r="T40" s="107"/>
    </row>
    <row r="41" spans="1:20" ht="15" customHeight="1" thickBot="1" x14ac:dyDescent="0.35">
      <c r="A41" s="54"/>
      <c r="B41" s="11" t="s">
        <v>120</v>
      </c>
      <c r="C41" s="43"/>
      <c r="D41" s="45"/>
      <c r="E41" s="45"/>
      <c r="F41" s="45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34"/>
      <c r="R41" s="51"/>
      <c r="S41" s="51"/>
      <c r="T41" s="50"/>
    </row>
    <row r="42" spans="1:20" ht="15" customHeight="1" x14ac:dyDescent="0.3">
      <c r="A42" s="54">
        <v>7</v>
      </c>
      <c r="B42" s="10" t="s">
        <v>121</v>
      </c>
      <c r="C42" s="42" t="s">
        <v>13</v>
      </c>
      <c r="D42" s="44">
        <v>74365</v>
      </c>
      <c r="E42" s="44"/>
      <c r="F42" s="44">
        <v>40633</v>
      </c>
      <c r="G42" s="46">
        <f t="shared" ref="G42" si="28">SUM(D42:F42)</f>
        <v>114998</v>
      </c>
      <c r="H42" s="43">
        <f>SUM(G42:G46)</f>
        <v>114998</v>
      </c>
      <c r="I42" s="53">
        <v>403</v>
      </c>
      <c r="J42" s="53"/>
      <c r="K42" s="53">
        <v>219</v>
      </c>
      <c r="L42" s="53"/>
      <c r="M42" s="34">
        <f t="shared" ref="M42:O42" si="29">(100*D42)/$T$3</f>
        <v>82.62777777777778</v>
      </c>
      <c r="N42" s="34">
        <f t="shared" si="29"/>
        <v>0</v>
      </c>
      <c r="O42" s="34">
        <f t="shared" si="29"/>
        <v>45.147777777777776</v>
      </c>
      <c r="P42" s="34">
        <f>(H42*100)/$S$3</f>
        <v>42.59185185185185</v>
      </c>
      <c r="Q42" s="60"/>
      <c r="R42" s="50" t="s">
        <v>55</v>
      </c>
      <c r="S42" s="50" t="s">
        <v>57</v>
      </c>
      <c r="T42" s="106" t="s">
        <v>58</v>
      </c>
    </row>
    <row r="43" spans="1:20" ht="15" customHeight="1" thickBot="1" x14ac:dyDescent="0.35">
      <c r="A43" s="54"/>
      <c r="B43" s="10" t="s">
        <v>122</v>
      </c>
      <c r="C43" s="43"/>
      <c r="D43" s="45"/>
      <c r="E43" s="45"/>
      <c r="F43" s="45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33"/>
      <c r="R43" s="50"/>
      <c r="S43" s="50"/>
      <c r="T43" s="107"/>
    </row>
    <row r="44" spans="1:20" ht="15" customHeight="1" x14ac:dyDescent="0.3">
      <c r="A44" s="54"/>
      <c r="B44" s="11" t="s">
        <v>77</v>
      </c>
      <c r="C44" s="42"/>
      <c r="D44" s="44"/>
      <c r="E44" s="44"/>
      <c r="F44" s="44"/>
      <c r="G44" s="46">
        <f t="shared" ref="G44" si="30"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33"/>
      <c r="R44" s="51"/>
      <c r="S44" s="51"/>
      <c r="T44" s="107"/>
    </row>
    <row r="45" spans="1:20" ht="15" customHeight="1" thickBot="1" x14ac:dyDescent="0.35">
      <c r="A45" s="54"/>
      <c r="B45" s="11" t="s">
        <v>78</v>
      </c>
      <c r="C45" s="43"/>
      <c r="D45" s="45"/>
      <c r="E45" s="45"/>
      <c r="F45" s="45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33"/>
      <c r="R45" s="51"/>
      <c r="S45" s="51"/>
      <c r="T45" s="107"/>
    </row>
    <row r="46" spans="1:20" ht="15" customHeight="1" x14ac:dyDescent="0.3">
      <c r="A46" s="54"/>
      <c r="B46" s="11" t="s">
        <v>76</v>
      </c>
      <c r="C46" s="42"/>
      <c r="D46" s="44"/>
      <c r="E46" s="44"/>
      <c r="F46" s="44"/>
      <c r="G46" s="46">
        <f t="shared" ref="G46" si="31"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33"/>
      <c r="R46" s="51"/>
      <c r="S46" s="51"/>
      <c r="T46" s="107"/>
    </row>
    <row r="47" spans="1:20" ht="15" customHeight="1" thickBot="1" x14ac:dyDescent="0.35">
      <c r="A47" s="54"/>
      <c r="B47" s="11" t="s">
        <v>120</v>
      </c>
      <c r="C47" s="47"/>
      <c r="D47" s="48"/>
      <c r="E47" s="48"/>
      <c r="F47" s="48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34"/>
      <c r="R47" s="51"/>
      <c r="S47" s="51"/>
      <c r="T47" s="50"/>
    </row>
    <row r="48" spans="1:20" ht="15" thickBot="1" x14ac:dyDescent="0.35">
      <c r="C48" s="35" t="s">
        <v>23</v>
      </c>
      <c r="D48" s="37">
        <f>SUM(D6:D47)</f>
        <v>504578</v>
      </c>
      <c r="E48" s="37">
        <f>SUM(E6:E47)</f>
        <v>353188</v>
      </c>
      <c r="F48" s="37">
        <f>SUM(F6:F47)</f>
        <v>442056</v>
      </c>
      <c r="G48" s="37">
        <f>SUM(G6:G46)</f>
        <v>1299822</v>
      </c>
      <c r="H48" s="37">
        <f>SUM(H6:H47)</f>
        <v>1299822</v>
      </c>
    </row>
    <row r="49" spans="3:17" ht="15" thickBot="1" x14ac:dyDescent="0.35">
      <c r="C49" s="36"/>
      <c r="D49" s="38"/>
      <c r="E49" s="38"/>
      <c r="F49" s="38"/>
      <c r="G49" s="38"/>
      <c r="H49" s="38"/>
      <c r="J49" s="13" t="s">
        <v>61</v>
      </c>
      <c r="K49" s="13" t="s">
        <v>62</v>
      </c>
      <c r="L49" s="102" t="s">
        <v>63</v>
      </c>
      <c r="M49" s="103"/>
      <c r="N49" s="13" t="s">
        <v>62</v>
      </c>
      <c r="O49" s="13" t="s">
        <v>64</v>
      </c>
      <c r="P49" s="13" t="s">
        <v>62</v>
      </c>
      <c r="Q49" s="22"/>
    </row>
    <row r="50" spans="3:17" x14ac:dyDescent="0.3">
      <c r="J50" s="16">
        <v>6</v>
      </c>
      <c r="K50" s="17" t="s">
        <v>65</v>
      </c>
      <c r="L50" s="104">
        <v>6</v>
      </c>
      <c r="M50" s="104"/>
      <c r="N50" s="17" t="s">
        <v>109</v>
      </c>
      <c r="O50" s="16">
        <v>6</v>
      </c>
      <c r="P50" s="17" t="s">
        <v>65</v>
      </c>
      <c r="Q50" s="23"/>
    </row>
    <row r="51" spans="3:17" x14ac:dyDescent="0.3">
      <c r="J51" s="16">
        <v>7</v>
      </c>
      <c r="K51" s="17" t="s">
        <v>65</v>
      </c>
      <c r="L51" s="104">
        <v>7</v>
      </c>
      <c r="M51" s="104"/>
      <c r="N51" s="17" t="s">
        <v>109</v>
      </c>
      <c r="O51" s="16">
        <v>7</v>
      </c>
      <c r="P51" s="17" t="s">
        <v>65</v>
      </c>
      <c r="Q51" s="23"/>
    </row>
    <row r="52" spans="3:17" x14ac:dyDescent="0.3">
      <c r="J52" s="14"/>
      <c r="K52" s="14"/>
      <c r="L52" s="105"/>
      <c r="M52" s="105"/>
      <c r="N52" s="14"/>
      <c r="O52" s="14"/>
      <c r="P52" s="14"/>
      <c r="Q52" s="24"/>
    </row>
    <row r="53" spans="3:17" x14ac:dyDescent="0.3">
      <c r="J53" s="15"/>
      <c r="K53" s="15"/>
      <c r="L53" s="15"/>
      <c r="M53" s="15"/>
      <c r="N53" s="15"/>
      <c r="O53" s="15"/>
      <c r="P53" s="15"/>
      <c r="Q53" s="25"/>
    </row>
    <row r="54" spans="3:17" x14ac:dyDescent="0.3">
      <c r="Q54" s="25"/>
    </row>
  </sheetData>
  <mergeCells count="227">
    <mergeCell ref="D30:D31"/>
    <mergeCell ref="C30:C31"/>
    <mergeCell ref="G32:G33"/>
    <mergeCell ref="F32:F33"/>
    <mergeCell ref="E32:E33"/>
    <mergeCell ref="D32:D33"/>
    <mergeCell ref="C32:C33"/>
    <mergeCell ref="G34:G35"/>
    <mergeCell ref="F34:F35"/>
    <mergeCell ref="E34:E35"/>
    <mergeCell ref="D34:D35"/>
    <mergeCell ref="C34:C35"/>
    <mergeCell ref="F26:F27"/>
    <mergeCell ref="E26:E27"/>
    <mergeCell ref="D26:D27"/>
    <mergeCell ref="C26:C27"/>
    <mergeCell ref="G28:G29"/>
    <mergeCell ref="F28:F29"/>
    <mergeCell ref="E28:E29"/>
    <mergeCell ref="D28:D29"/>
    <mergeCell ref="C28:C29"/>
    <mergeCell ref="F22:F23"/>
    <mergeCell ref="E22:E23"/>
    <mergeCell ref="D22:D23"/>
    <mergeCell ref="C22:C23"/>
    <mergeCell ref="G24:G25"/>
    <mergeCell ref="F24:F25"/>
    <mergeCell ref="E24:E25"/>
    <mergeCell ref="D24:D25"/>
    <mergeCell ref="C24:C25"/>
    <mergeCell ref="F18:F19"/>
    <mergeCell ref="E18:E19"/>
    <mergeCell ref="D18:D19"/>
    <mergeCell ref="C18:C19"/>
    <mergeCell ref="G20:G21"/>
    <mergeCell ref="F20:F21"/>
    <mergeCell ref="E20:E21"/>
    <mergeCell ref="D20:D21"/>
    <mergeCell ref="C20:C21"/>
    <mergeCell ref="F14:F15"/>
    <mergeCell ref="E14:E15"/>
    <mergeCell ref="D14:D15"/>
    <mergeCell ref="C14:C15"/>
    <mergeCell ref="G16:G17"/>
    <mergeCell ref="F16:F17"/>
    <mergeCell ref="E16:E17"/>
    <mergeCell ref="D16:D17"/>
    <mergeCell ref="C16:C17"/>
    <mergeCell ref="F10:F11"/>
    <mergeCell ref="E10:E11"/>
    <mergeCell ref="D10:D11"/>
    <mergeCell ref="C10:C11"/>
    <mergeCell ref="G12:G13"/>
    <mergeCell ref="F12:F13"/>
    <mergeCell ref="E12:E13"/>
    <mergeCell ref="D12:D13"/>
    <mergeCell ref="C12:C13"/>
    <mergeCell ref="F6:F7"/>
    <mergeCell ref="E6:E7"/>
    <mergeCell ref="D6:D7"/>
    <mergeCell ref="C6:C7"/>
    <mergeCell ref="G8:G9"/>
    <mergeCell ref="F8:F9"/>
    <mergeCell ref="E8:E9"/>
    <mergeCell ref="D8:D9"/>
    <mergeCell ref="C8:C9"/>
    <mergeCell ref="Q4:Q5"/>
    <mergeCell ref="Q6:Q11"/>
    <mergeCell ref="Q12:Q17"/>
    <mergeCell ref="Q18:Q23"/>
    <mergeCell ref="Q24:Q29"/>
    <mergeCell ref="Q30:Q35"/>
    <mergeCell ref="Q36:Q41"/>
    <mergeCell ref="Q42:Q47"/>
    <mergeCell ref="G6:G7"/>
    <mergeCell ref="G10:G11"/>
    <mergeCell ref="G14:G15"/>
    <mergeCell ref="G18:G19"/>
    <mergeCell ref="G22:G23"/>
    <mergeCell ref="G26:G27"/>
    <mergeCell ref="G30:G31"/>
    <mergeCell ref="G36:G37"/>
    <mergeCell ref="G38:G39"/>
    <mergeCell ref="G40:G41"/>
    <mergeCell ref="G42:G43"/>
    <mergeCell ref="G44:G45"/>
    <mergeCell ref="G46:G47"/>
    <mergeCell ref="M24:M29"/>
    <mergeCell ref="N24:N29"/>
    <mergeCell ref="O30:O35"/>
    <mergeCell ref="L50:M50"/>
    <mergeCell ref="L51:M51"/>
    <mergeCell ref="L52:M52"/>
    <mergeCell ref="A1:C3"/>
    <mergeCell ref="D1:R3"/>
    <mergeCell ref="S1:T1"/>
    <mergeCell ref="A4:A5"/>
    <mergeCell ref="B4:B5"/>
    <mergeCell ref="C4:C5"/>
    <mergeCell ref="D4:F4"/>
    <mergeCell ref="G4:G5"/>
    <mergeCell ref="H4:H5"/>
    <mergeCell ref="I4:K4"/>
    <mergeCell ref="L4:L5"/>
    <mergeCell ref="M4:P4"/>
    <mergeCell ref="R4:T4"/>
    <mergeCell ref="A6:A11"/>
    <mergeCell ref="H6:H11"/>
    <mergeCell ref="I6:I11"/>
    <mergeCell ref="J6:J11"/>
    <mergeCell ref="K6:K11"/>
    <mergeCell ref="L6:L11"/>
    <mergeCell ref="T6:T11"/>
    <mergeCell ref="A12:A17"/>
    <mergeCell ref="H12:H17"/>
    <mergeCell ref="I12:I17"/>
    <mergeCell ref="J12:J17"/>
    <mergeCell ref="K12:K17"/>
    <mergeCell ref="L12:L17"/>
    <mergeCell ref="M12:M17"/>
    <mergeCell ref="N12:N17"/>
    <mergeCell ref="M6:M11"/>
    <mergeCell ref="N6:N11"/>
    <mergeCell ref="O6:O11"/>
    <mergeCell ref="P6:P11"/>
    <mergeCell ref="R6:R11"/>
    <mergeCell ref="S6:S11"/>
    <mergeCell ref="O12:O17"/>
    <mergeCell ref="P12:P17"/>
    <mergeCell ref="R12:R17"/>
    <mergeCell ref="S12:S17"/>
    <mergeCell ref="T12:T17"/>
    <mergeCell ref="A18:A23"/>
    <mergeCell ref="H18:H23"/>
    <mergeCell ref="I18:I23"/>
    <mergeCell ref="J18:J23"/>
    <mergeCell ref="R18:R23"/>
    <mergeCell ref="S18:S23"/>
    <mergeCell ref="T18:T23"/>
    <mergeCell ref="A24:A29"/>
    <mergeCell ref="H24:H29"/>
    <mergeCell ref="I24:I29"/>
    <mergeCell ref="J24:J29"/>
    <mergeCell ref="K24:K29"/>
    <mergeCell ref="L24:L29"/>
    <mergeCell ref="K18:K23"/>
    <mergeCell ref="L18:L23"/>
    <mergeCell ref="M18:M23"/>
    <mergeCell ref="N18:N23"/>
    <mergeCell ref="O18:O23"/>
    <mergeCell ref="P18:P23"/>
    <mergeCell ref="T24:T29"/>
    <mergeCell ref="O24:O29"/>
    <mergeCell ref="P24:P29"/>
    <mergeCell ref="R24:R29"/>
    <mergeCell ref="S24:S29"/>
    <mergeCell ref="P30:P35"/>
    <mergeCell ref="R30:R35"/>
    <mergeCell ref="S30:S35"/>
    <mergeCell ref="T30:T35"/>
    <mergeCell ref="A36:A41"/>
    <mergeCell ref="H36:H41"/>
    <mergeCell ref="I36:I41"/>
    <mergeCell ref="J36:J41"/>
    <mergeCell ref="R36:R41"/>
    <mergeCell ref="S36:S41"/>
    <mergeCell ref="T36:T41"/>
    <mergeCell ref="N36:N41"/>
    <mergeCell ref="O36:O41"/>
    <mergeCell ref="P36:P41"/>
    <mergeCell ref="A30:A35"/>
    <mergeCell ref="H30:H35"/>
    <mergeCell ref="I30:I35"/>
    <mergeCell ref="J30:J35"/>
    <mergeCell ref="K30:K35"/>
    <mergeCell ref="L30:L35"/>
    <mergeCell ref="M30:M35"/>
    <mergeCell ref="N30:N35"/>
    <mergeCell ref="F30:F31"/>
    <mergeCell ref="E30:E31"/>
    <mergeCell ref="A42:A47"/>
    <mergeCell ref="H42:H47"/>
    <mergeCell ref="I42:I47"/>
    <mergeCell ref="J42:J47"/>
    <mergeCell ref="K42:K47"/>
    <mergeCell ref="L42:L47"/>
    <mergeCell ref="K36:K41"/>
    <mergeCell ref="L36:L41"/>
    <mergeCell ref="M36:M41"/>
    <mergeCell ref="F36:F37"/>
    <mergeCell ref="E36:E37"/>
    <mergeCell ref="D36:D37"/>
    <mergeCell ref="C36:C37"/>
    <mergeCell ref="F38:F39"/>
    <mergeCell ref="E38:E39"/>
    <mergeCell ref="D38:D39"/>
    <mergeCell ref="C38:C39"/>
    <mergeCell ref="F40:F41"/>
    <mergeCell ref="E40:E41"/>
    <mergeCell ref="D40:D41"/>
    <mergeCell ref="C40:C41"/>
    <mergeCell ref="F42:F43"/>
    <mergeCell ref="E42:E43"/>
    <mergeCell ref="D42:D43"/>
    <mergeCell ref="T42:T47"/>
    <mergeCell ref="C48:C49"/>
    <mergeCell ref="D48:D49"/>
    <mergeCell ref="E48:E49"/>
    <mergeCell ref="F48:F49"/>
    <mergeCell ref="G48:G49"/>
    <mergeCell ref="H48:H49"/>
    <mergeCell ref="M42:M47"/>
    <mergeCell ref="N42:N47"/>
    <mergeCell ref="O42:O47"/>
    <mergeCell ref="P42:P47"/>
    <mergeCell ref="R42:R47"/>
    <mergeCell ref="S42:S47"/>
    <mergeCell ref="L49:M49"/>
    <mergeCell ref="C42:C43"/>
    <mergeCell ref="F44:F45"/>
    <mergeCell ref="E44:E45"/>
    <mergeCell ref="D44:D45"/>
    <mergeCell ref="C44:C45"/>
    <mergeCell ref="F46:F47"/>
    <mergeCell ref="E46:E47"/>
    <mergeCell ref="D46:D47"/>
    <mergeCell ref="C46:C47"/>
  </mergeCells>
  <pageMargins left="3.937007874015748E-2" right="3.937007874015748E-2" top="3.937007874015748E-2" bottom="3.937007874015748E-2" header="0.31496062992125984" footer="0.31496062992125984"/>
  <pageSetup paperSize="8" scale="94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7CC8-1755-4213-8476-5FC166D1831A}">
  <sheetPr>
    <pageSetUpPr fitToPage="1"/>
  </sheetPr>
  <dimension ref="A1:T54"/>
  <sheetViews>
    <sheetView zoomScaleNormal="100" workbookViewId="0">
      <selection activeCell="B12" sqref="B12:B47"/>
    </sheetView>
  </sheetViews>
  <sheetFormatPr defaultRowHeight="14.4" x14ac:dyDescent="0.3"/>
  <cols>
    <col min="1" max="1" width="7.88671875" customWidth="1"/>
    <col min="2" max="2" width="12.886718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7" width="12.88671875" customWidth="1"/>
    <col min="18" max="20" width="20.77734375" customWidth="1"/>
  </cols>
  <sheetData>
    <row r="1" spans="1:20" ht="15" customHeight="1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9" t="s">
        <v>66</v>
      </c>
      <c r="T1" s="90"/>
    </row>
    <row r="2" spans="1:20" ht="15" customHeight="1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7" t="s">
        <v>19</v>
      </c>
      <c r="T2" s="7" t="s">
        <v>20</v>
      </c>
    </row>
    <row r="3" spans="1:20" ht="15" customHeight="1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8"/>
      <c r="S3" s="8">
        <v>270000</v>
      </c>
      <c r="T3" s="6">
        <v>90000</v>
      </c>
    </row>
    <row r="4" spans="1:20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1" t="s">
        <v>75</v>
      </c>
      <c r="R4" s="66" t="s">
        <v>11</v>
      </c>
      <c r="S4" s="67"/>
      <c r="T4" s="68"/>
    </row>
    <row r="5" spans="1:20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21" t="s">
        <v>10</v>
      </c>
      <c r="Q5" s="97"/>
      <c r="R5" s="1" t="s">
        <v>4</v>
      </c>
      <c r="S5" s="2" t="s">
        <v>5</v>
      </c>
      <c r="T5" s="3" t="s">
        <v>6</v>
      </c>
    </row>
    <row r="6" spans="1:20" ht="15" customHeight="1" x14ac:dyDescent="0.3">
      <c r="A6" s="59">
        <v>1</v>
      </c>
      <c r="B6" s="10" t="s">
        <v>121</v>
      </c>
      <c r="C6" s="46" t="s">
        <v>12</v>
      </c>
      <c r="D6" s="70">
        <v>74159</v>
      </c>
      <c r="E6" s="70">
        <v>75068</v>
      </c>
      <c r="F6" s="70">
        <v>79038</v>
      </c>
      <c r="G6" s="46">
        <f>SUM(D6:F6)</f>
        <v>228265</v>
      </c>
      <c r="H6" s="43">
        <f>SUM(G6:G10)</f>
        <v>228265</v>
      </c>
      <c r="I6" s="43">
        <v>422</v>
      </c>
      <c r="J6" s="43">
        <v>395</v>
      </c>
      <c r="K6" s="43">
        <v>416</v>
      </c>
      <c r="L6" s="43"/>
      <c r="M6" s="34">
        <f>(100*D6)/$T$3</f>
        <v>82.398888888888891</v>
      </c>
      <c r="N6" s="34">
        <f t="shared" ref="N6:O6" si="0">(100*E6)/$T$3</f>
        <v>83.408888888888896</v>
      </c>
      <c r="O6" s="34">
        <f t="shared" si="0"/>
        <v>87.82</v>
      </c>
      <c r="P6" s="34">
        <f>(H6*100)/$S$3</f>
        <v>84.542592592592598</v>
      </c>
      <c r="Q6" s="60"/>
      <c r="R6" s="50" t="s">
        <v>59</v>
      </c>
      <c r="S6" s="50" t="s">
        <v>68</v>
      </c>
      <c r="T6" s="50" t="s">
        <v>59</v>
      </c>
    </row>
    <row r="7" spans="1:20" ht="15" customHeight="1" thickBot="1" x14ac:dyDescent="0.35">
      <c r="A7" s="59"/>
      <c r="B7" s="10" t="s">
        <v>122</v>
      </c>
      <c r="C7" s="43"/>
      <c r="D7" s="45"/>
      <c r="E7" s="45"/>
      <c r="F7" s="45"/>
      <c r="G7" s="43"/>
      <c r="H7" s="43"/>
      <c r="I7" s="43"/>
      <c r="J7" s="43"/>
      <c r="K7" s="43"/>
      <c r="L7" s="43"/>
      <c r="M7" s="34"/>
      <c r="N7" s="34"/>
      <c r="O7" s="34"/>
      <c r="P7" s="34"/>
      <c r="Q7" s="33"/>
      <c r="R7" s="50"/>
      <c r="S7" s="50"/>
      <c r="T7" s="50"/>
    </row>
    <row r="8" spans="1:20" ht="15" customHeight="1" x14ac:dyDescent="0.3">
      <c r="A8" s="54"/>
      <c r="B8" s="11" t="s">
        <v>77</v>
      </c>
      <c r="C8" s="42"/>
      <c r="D8" s="44"/>
      <c r="E8" s="44"/>
      <c r="F8" s="44"/>
      <c r="G8" s="46">
        <f t="shared" ref="G8" si="1">SUM(D8:F8)</f>
        <v>0</v>
      </c>
      <c r="H8" s="53"/>
      <c r="I8" s="53"/>
      <c r="J8" s="53"/>
      <c r="K8" s="53"/>
      <c r="L8" s="53"/>
      <c r="M8" s="49"/>
      <c r="N8" s="49"/>
      <c r="O8" s="49"/>
      <c r="P8" s="49"/>
      <c r="Q8" s="33"/>
      <c r="R8" s="51"/>
      <c r="S8" s="51"/>
      <c r="T8" s="51"/>
    </row>
    <row r="9" spans="1:20" ht="15" customHeight="1" thickBot="1" x14ac:dyDescent="0.35">
      <c r="A9" s="54"/>
      <c r="B9" s="11" t="s">
        <v>78</v>
      </c>
      <c r="C9" s="43"/>
      <c r="D9" s="45"/>
      <c r="E9" s="45"/>
      <c r="F9" s="45"/>
      <c r="G9" s="43"/>
      <c r="H9" s="53"/>
      <c r="I9" s="53"/>
      <c r="J9" s="53"/>
      <c r="K9" s="53"/>
      <c r="L9" s="53"/>
      <c r="M9" s="49"/>
      <c r="N9" s="49"/>
      <c r="O9" s="49"/>
      <c r="P9" s="49"/>
      <c r="Q9" s="33"/>
      <c r="R9" s="51"/>
      <c r="S9" s="51"/>
      <c r="T9" s="51"/>
    </row>
    <row r="10" spans="1:20" ht="15" customHeight="1" x14ac:dyDescent="0.3">
      <c r="A10" s="54"/>
      <c r="B10" s="11" t="s">
        <v>76</v>
      </c>
      <c r="C10" s="42"/>
      <c r="D10" s="44"/>
      <c r="E10" s="44"/>
      <c r="F10" s="44"/>
      <c r="G10" s="46">
        <f t="shared" ref="G10" si="2">SUM(D10:F10)</f>
        <v>0</v>
      </c>
      <c r="H10" s="53"/>
      <c r="I10" s="53"/>
      <c r="J10" s="53"/>
      <c r="K10" s="53"/>
      <c r="L10" s="53"/>
      <c r="M10" s="49"/>
      <c r="N10" s="49"/>
      <c r="O10" s="49"/>
      <c r="P10" s="49"/>
      <c r="Q10" s="33"/>
      <c r="R10" s="51"/>
      <c r="S10" s="51"/>
      <c r="T10" s="51"/>
    </row>
    <row r="11" spans="1:20" ht="15" customHeight="1" thickBot="1" x14ac:dyDescent="0.35">
      <c r="A11" s="54"/>
      <c r="B11" s="11" t="s">
        <v>120</v>
      </c>
      <c r="C11" s="43"/>
      <c r="D11" s="45"/>
      <c r="E11" s="45"/>
      <c r="F11" s="45"/>
      <c r="G11" s="43"/>
      <c r="H11" s="53"/>
      <c r="I11" s="53"/>
      <c r="J11" s="53"/>
      <c r="K11" s="53"/>
      <c r="L11" s="53"/>
      <c r="M11" s="49"/>
      <c r="N11" s="49"/>
      <c r="O11" s="49"/>
      <c r="P11" s="49"/>
      <c r="Q11" s="34"/>
      <c r="R11" s="51"/>
      <c r="S11" s="51"/>
      <c r="T11" s="51"/>
    </row>
    <row r="12" spans="1:20" ht="15" customHeight="1" x14ac:dyDescent="0.3">
      <c r="A12" s="54">
        <v>2</v>
      </c>
      <c r="B12" s="10" t="s">
        <v>121</v>
      </c>
      <c r="C12" s="42" t="s">
        <v>12</v>
      </c>
      <c r="D12" s="44">
        <v>73013</v>
      </c>
      <c r="E12" s="44">
        <v>73359</v>
      </c>
      <c r="F12" s="44">
        <v>78104</v>
      </c>
      <c r="G12" s="46">
        <f t="shared" ref="G12" si="3">SUM(D12:F12)</f>
        <v>224476</v>
      </c>
      <c r="H12" s="43">
        <f>SUM(G12:G16)</f>
        <v>224476</v>
      </c>
      <c r="I12" s="53">
        <v>423</v>
      </c>
      <c r="J12" s="53">
        <v>391</v>
      </c>
      <c r="K12" s="53">
        <v>417</v>
      </c>
      <c r="L12" s="53"/>
      <c r="M12" s="34">
        <f>(100*D12)/$T$3</f>
        <v>81.12555555555555</v>
      </c>
      <c r="N12" s="34">
        <f t="shared" ref="N12:O12" si="4">(100*E12)/$T$3</f>
        <v>81.510000000000005</v>
      </c>
      <c r="O12" s="34">
        <f t="shared" si="4"/>
        <v>86.782222222222217</v>
      </c>
      <c r="P12" s="34">
        <f>(H12*100)/$S$3</f>
        <v>83.139259259259262</v>
      </c>
      <c r="Q12" s="60"/>
      <c r="R12" s="50" t="s">
        <v>59</v>
      </c>
      <c r="S12" s="50" t="s">
        <v>68</v>
      </c>
      <c r="T12" s="50" t="s">
        <v>59</v>
      </c>
    </row>
    <row r="13" spans="1:20" ht="15" customHeight="1" thickBot="1" x14ac:dyDescent="0.35">
      <c r="A13" s="54"/>
      <c r="B13" s="10" t="s">
        <v>122</v>
      </c>
      <c r="C13" s="43"/>
      <c r="D13" s="45"/>
      <c r="E13" s="45"/>
      <c r="F13" s="45"/>
      <c r="G13" s="43"/>
      <c r="H13" s="43"/>
      <c r="I13" s="53"/>
      <c r="J13" s="53"/>
      <c r="K13" s="53"/>
      <c r="L13" s="53"/>
      <c r="M13" s="34"/>
      <c r="N13" s="34"/>
      <c r="O13" s="34"/>
      <c r="P13" s="34"/>
      <c r="Q13" s="33"/>
      <c r="R13" s="50"/>
      <c r="S13" s="50"/>
      <c r="T13" s="50"/>
    </row>
    <row r="14" spans="1:20" ht="15" customHeight="1" x14ac:dyDescent="0.3">
      <c r="A14" s="54"/>
      <c r="B14" s="11" t="s">
        <v>77</v>
      </c>
      <c r="C14" s="42"/>
      <c r="D14" s="44"/>
      <c r="E14" s="44"/>
      <c r="F14" s="44"/>
      <c r="G14" s="46">
        <f t="shared" ref="G14" si="5">SUM(D14:F14)</f>
        <v>0</v>
      </c>
      <c r="H14" s="43"/>
      <c r="I14" s="53"/>
      <c r="J14" s="53"/>
      <c r="K14" s="53"/>
      <c r="L14" s="53"/>
      <c r="M14" s="34"/>
      <c r="N14" s="34"/>
      <c r="O14" s="34"/>
      <c r="P14" s="34"/>
      <c r="Q14" s="33"/>
      <c r="R14" s="50"/>
      <c r="S14" s="50"/>
      <c r="T14" s="50"/>
    </row>
    <row r="15" spans="1:20" ht="15" customHeight="1" thickBot="1" x14ac:dyDescent="0.35">
      <c r="A15" s="54"/>
      <c r="B15" s="11" t="s">
        <v>78</v>
      </c>
      <c r="C15" s="43"/>
      <c r="D15" s="45"/>
      <c r="E15" s="45"/>
      <c r="F15" s="45"/>
      <c r="G15" s="43"/>
      <c r="H15" s="53"/>
      <c r="I15" s="53"/>
      <c r="J15" s="53"/>
      <c r="K15" s="53"/>
      <c r="L15" s="53"/>
      <c r="M15" s="49"/>
      <c r="N15" s="49"/>
      <c r="O15" s="49"/>
      <c r="P15" s="49"/>
      <c r="Q15" s="33"/>
      <c r="R15" s="51"/>
      <c r="S15" s="51"/>
      <c r="T15" s="51"/>
    </row>
    <row r="16" spans="1:20" ht="15" customHeight="1" x14ac:dyDescent="0.3">
      <c r="A16" s="54"/>
      <c r="B16" s="11" t="s">
        <v>76</v>
      </c>
      <c r="C16" s="42"/>
      <c r="D16" s="44"/>
      <c r="E16" s="44"/>
      <c r="F16" s="44"/>
      <c r="G16" s="46">
        <f t="shared" ref="G16" si="6">SUM(D16:F16)</f>
        <v>0</v>
      </c>
      <c r="H16" s="53"/>
      <c r="I16" s="53"/>
      <c r="J16" s="53"/>
      <c r="K16" s="53"/>
      <c r="L16" s="53"/>
      <c r="M16" s="49"/>
      <c r="N16" s="49"/>
      <c r="O16" s="49"/>
      <c r="P16" s="49"/>
      <c r="Q16" s="33"/>
      <c r="R16" s="51"/>
      <c r="S16" s="51"/>
      <c r="T16" s="51"/>
    </row>
    <row r="17" spans="1:20" ht="15" customHeight="1" thickBot="1" x14ac:dyDescent="0.35">
      <c r="A17" s="54"/>
      <c r="B17" s="11" t="s">
        <v>120</v>
      </c>
      <c r="C17" s="43"/>
      <c r="D17" s="45"/>
      <c r="E17" s="45"/>
      <c r="F17" s="45"/>
      <c r="G17" s="43"/>
      <c r="H17" s="53"/>
      <c r="I17" s="53"/>
      <c r="J17" s="53"/>
      <c r="K17" s="53"/>
      <c r="L17" s="53"/>
      <c r="M17" s="49"/>
      <c r="N17" s="49"/>
      <c r="O17" s="49"/>
      <c r="P17" s="49"/>
      <c r="Q17" s="34"/>
      <c r="R17" s="51"/>
      <c r="S17" s="51"/>
      <c r="T17" s="51"/>
    </row>
    <row r="18" spans="1:20" ht="15" customHeight="1" x14ac:dyDescent="0.3">
      <c r="A18" s="57">
        <v>3</v>
      </c>
      <c r="B18" s="10" t="s">
        <v>121</v>
      </c>
      <c r="C18" s="42" t="s">
        <v>12</v>
      </c>
      <c r="D18" s="44">
        <v>76504</v>
      </c>
      <c r="E18" s="44">
        <v>80003</v>
      </c>
      <c r="F18" s="44">
        <v>80316</v>
      </c>
      <c r="G18" s="46">
        <f t="shared" ref="G18" si="7">SUM(D18:F18)</f>
        <v>236823</v>
      </c>
      <c r="H18" s="42">
        <f>SUM(G18:G22)</f>
        <v>236823</v>
      </c>
      <c r="I18" s="42"/>
      <c r="J18" s="42"/>
      <c r="K18" s="42"/>
      <c r="L18" s="42"/>
      <c r="M18" s="32">
        <f t="shared" ref="M18:O18" si="8">(100*D18)/$T$3</f>
        <v>85.004444444444445</v>
      </c>
      <c r="N18" s="32">
        <f t="shared" si="8"/>
        <v>88.892222222222216</v>
      </c>
      <c r="O18" s="32">
        <f t="shared" si="8"/>
        <v>89.24</v>
      </c>
      <c r="P18" s="32">
        <f t="shared" ref="P18" si="9">(H18*100)/$S$3</f>
        <v>87.712222222222223</v>
      </c>
      <c r="Q18" s="60"/>
      <c r="R18" s="108" t="s">
        <v>59</v>
      </c>
      <c r="S18" s="108" t="s">
        <v>59</v>
      </c>
      <c r="T18" s="108" t="s">
        <v>71</v>
      </c>
    </row>
    <row r="19" spans="1:20" ht="15" customHeight="1" thickBot="1" x14ac:dyDescent="0.35">
      <c r="A19" s="58"/>
      <c r="B19" s="10" t="s">
        <v>122</v>
      </c>
      <c r="C19" s="43"/>
      <c r="D19" s="45"/>
      <c r="E19" s="45"/>
      <c r="F19" s="45"/>
      <c r="G19" s="43"/>
      <c r="H19" s="56"/>
      <c r="I19" s="56"/>
      <c r="J19" s="56"/>
      <c r="K19" s="56"/>
      <c r="L19" s="56"/>
      <c r="M19" s="33"/>
      <c r="N19" s="33"/>
      <c r="O19" s="33"/>
      <c r="P19" s="33"/>
      <c r="Q19" s="33"/>
      <c r="R19" s="107"/>
      <c r="S19" s="107"/>
      <c r="T19" s="107"/>
    </row>
    <row r="20" spans="1:20" ht="15" customHeight="1" x14ac:dyDescent="0.3">
      <c r="A20" s="58"/>
      <c r="B20" s="11" t="s">
        <v>77</v>
      </c>
      <c r="C20" s="42"/>
      <c r="D20" s="44"/>
      <c r="E20" s="44"/>
      <c r="F20" s="44"/>
      <c r="G20" s="46">
        <f t="shared" ref="G20" si="10">SUM(D20:F20)</f>
        <v>0</v>
      </c>
      <c r="H20" s="56"/>
      <c r="I20" s="56"/>
      <c r="J20" s="56"/>
      <c r="K20" s="56"/>
      <c r="L20" s="56"/>
      <c r="M20" s="33"/>
      <c r="N20" s="33"/>
      <c r="O20" s="33"/>
      <c r="P20" s="33"/>
      <c r="Q20" s="33"/>
      <c r="R20" s="107"/>
      <c r="S20" s="107"/>
      <c r="T20" s="107"/>
    </row>
    <row r="21" spans="1:20" ht="15" customHeight="1" thickBot="1" x14ac:dyDescent="0.35">
      <c r="A21" s="58"/>
      <c r="B21" s="11" t="s">
        <v>78</v>
      </c>
      <c r="C21" s="43"/>
      <c r="D21" s="45"/>
      <c r="E21" s="45"/>
      <c r="F21" s="45"/>
      <c r="G21" s="43"/>
      <c r="H21" s="56"/>
      <c r="I21" s="56"/>
      <c r="J21" s="56"/>
      <c r="K21" s="56"/>
      <c r="L21" s="56"/>
      <c r="M21" s="33"/>
      <c r="N21" s="33"/>
      <c r="O21" s="33"/>
      <c r="P21" s="33"/>
      <c r="Q21" s="33"/>
      <c r="R21" s="107"/>
      <c r="S21" s="107"/>
      <c r="T21" s="107"/>
    </row>
    <row r="22" spans="1:20" ht="15" customHeight="1" x14ac:dyDescent="0.3">
      <c r="A22" s="58"/>
      <c r="B22" s="11" t="s">
        <v>76</v>
      </c>
      <c r="C22" s="42"/>
      <c r="D22" s="44"/>
      <c r="E22" s="44"/>
      <c r="F22" s="44"/>
      <c r="G22" s="46">
        <f t="shared" ref="G22" si="11">SUM(D22:F22)</f>
        <v>0</v>
      </c>
      <c r="H22" s="56"/>
      <c r="I22" s="56"/>
      <c r="J22" s="56"/>
      <c r="K22" s="56"/>
      <c r="L22" s="56"/>
      <c r="M22" s="33"/>
      <c r="N22" s="33"/>
      <c r="O22" s="33"/>
      <c r="P22" s="33"/>
      <c r="Q22" s="33"/>
      <c r="R22" s="107"/>
      <c r="S22" s="107"/>
      <c r="T22" s="107"/>
    </row>
    <row r="23" spans="1:20" ht="15" customHeight="1" thickBot="1" x14ac:dyDescent="0.35">
      <c r="A23" s="59"/>
      <c r="B23" s="11" t="s">
        <v>120</v>
      </c>
      <c r="C23" s="43"/>
      <c r="D23" s="45"/>
      <c r="E23" s="45"/>
      <c r="F23" s="45"/>
      <c r="G23" s="43"/>
      <c r="H23" s="43"/>
      <c r="I23" s="43"/>
      <c r="J23" s="43"/>
      <c r="K23" s="43"/>
      <c r="L23" s="43"/>
      <c r="M23" s="34"/>
      <c r="N23" s="34"/>
      <c r="O23" s="34"/>
      <c r="P23" s="34"/>
      <c r="Q23" s="117"/>
      <c r="R23" s="50"/>
      <c r="S23" s="50"/>
      <c r="T23" s="50"/>
    </row>
    <row r="24" spans="1:20" ht="15" customHeight="1" x14ac:dyDescent="0.3">
      <c r="A24" s="54">
        <v>4</v>
      </c>
      <c r="B24" s="10" t="s">
        <v>121</v>
      </c>
      <c r="C24" s="42" t="s">
        <v>12</v>
      </c>
      <c r="D24" s="44"/>
      <c r="E24" s="44">
        <v>77008</v>
      </c>
      <c r="F24" s="44">
        <v>80034</v>
      </c>
      <c r="G24" s="46">
        <f t="shared" ref="G24" si="12">SUM(D24:F24)</f>
        <v>157042</v>
      </c>
      <c r="H24" s="43">
        <f>SUM(G24:G28)</f>
        <v>232338</v>
      </c>
      <c r="I24" s="53">
        <v>423</v>
      </c>
      <c r="J24" s="53">
        <v>398</v>
      </c>
      <c r="K24" s="53">
        <v>414</v>
      </c>
      <c r="L24" s="53"/>
      <c r="M24" s="34">
        <f t="shared" ref="M24:O24" si="13">(100*D24)/$T$3</f>
        <v>0</v>
      </c>
      <c r="N24" s="34">
        <f t="shared" si="13"/>
        <v>85.564444444444447</v>
      </c>
      <c r="O24" s="34">
        <f t="shared" si="13"/>
        <v>88.926666666666662</v>
      </c>
      <c r="P24" s="34">
        <f t="shared" ref="P24" si="14">(H24*100)/$S$3</f>
        <v>86.051111111111112</v>
      </c>
      <c r="Q24" s="60"/>
      <c r="R24" s="50" t="s">
        <v>59</v>
      </c>
      <c r="S24" s="50" t="s">
        <v>59</v>
      </c>
      <c r="T24" s="108" t="s">
        <v>71</v>
      </c>
    </row>
    <row r="25" spans="1:20" ht="15" customHeight="1" thickBot="1" x14ac:dyDescent="0.35">
      <c r="A25" s="54"/>
      <c r="B25" s="10" t="s">
        <v>122</v>
      </c>
      <c r="C25" s="43"/>
      <c r="D25" s="45"/>
      <c r="E25" s="45"/>
      <c r="F25" s="45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33"/>
      <c r="R25" s="50"/>
      <c r="S25" s="50"/>
      <c r="T25" s="107"/>
    </row>
    <row r="26" spans="1:20" ht="15" customHeight="1" x14ac:dyDescent="0.3">
      <c r="A26" s="54"/>
      <c r="B26" s="11" t="s">
        <v>77</v>
      </c>
      <c r="C26" s="42"/>
      <c r="D26" s="44"/>
      <c r="E26" s="44"/>
      <c r="F26" s="44"/>
      <c r="G26" s="46">
        <f t="shared" ref="G26" si="15">SUM(D26:F26)</f>
        <v>0</v>
      </c>
      <c r="H26" s="53"/>
      <c r="I26" s="53"/>
      <c r="J26" s="53"/>
      <c r="K26" s="53"/>
      <c r="L26" s="53"/>
      <c r="M26" s="49"/>
      <c r="N26" s="49"/>
      <c r="O26" s="49"/>
      <c r="P26" s="49"/>
      <c r="Q26" s="33"/>
      <c r="R26" s="51"/>
      <c r="S26" s="51"/>
      <c r="T26" s="107"/>
    </row>
    <row r="27" spans="1:20" ht="15" customHeight="1" thickBot="1" x14ac:dyDescent="0.35">
      <c r="A27" s="54"/>
      <c r="B27" s="11" t="s">
        <v>78</v>
      </c>
      <c r="C27" s="43"/>
      <c r="D27" s="45"/>
      <c r="E27" s="45"/>
      <c r="F27" s="45"/>
      <c r="G27" s="43"/>
      <c r="H27" s="53"/>
      <c r="I27" s="53"/>
      <c r="J27" s="53"/>
      <c r="K27" s="53"/>
      <c r="L27" s="53"/>
      <c r="M27" s="49"/>
      <c r="N27" s="49"/>
      <c r="O27" s="49"/>
      <c r="P27" s="49"/>
      <c r="Q27" s="33"/>
      <c r="R27" s="51"/>
      <c r="S27" s="51"/>
      <c r="T27" s="107"/>
    </row>
    <row r="28" spans="1:20" ht="15" customHeight="1" x14ac:dyDescent="0.3">
      <c r="A28" s="54"/>
      <c r="B28" s="11" t="s">
        <v>76</v>
      </c>
      <c r="C28" s="42" t="s">
        <v>37</v>
      </c>
      <c r="D28" s="44">
        <v>75296</v>
      </c>
      <c r="E28" s="44"/>
      <c r="F28" s="44"/>
      <c r="G28" s="46">
        <f t="shared" ref="G28" si="16">SUM(D28:F28)</f>
        <v>75296</v>
      </c>
      <c r="H28" s="53"/>
      <c r="I28" s="53"/>
      <c r="J28" s="53"/>
      <c r="K28" s="53"/>
      <c r="L28" s="53"/>
      <c r="M28" s="49"/>
      <c r="N28" s="49"/>
      <c r="O28" s="49"/>
      <c r="P28" s="49"/>
      <c r="Q28" s="33"/>
      <c r="R28" s="51"/>
      <c r="S28" s="51"/>
      <c r="T28" s="107"/>
    </row>
    <row r="29" spans="1:20" ht="15" customHeight="1" thickBot="1" x14ac:dyDescent="0.35">
      <c r="A29" s="54"/>
      <c r="B29" s="11" t="s">
        <v>120</v>
      </c>
      <c r="C29" s="43"/>
      <c r="D29" s="45"/>
      <c r="E29" s="45"/>
      <c r="F29" s="45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34"/>
      <c r="R29" s="51"/>
      <c r="S29" s="51"/>
      <c r="T29" s="50"/>
    </row>
    <row r="30" spans="1:20" ht="15" customHeight="1" x14ac:dyDescent="0.3">
      <c r="A30" s="54">
        <v>5</v>
      </c>
      <c r="B30" s="10" t="s">
        <v>121</v>
      </c>
      <c r="C30" s="42"/>
      <c r="D30" s="44"/>
      <c r="E30" s="44"/>
      <c r="F30" s="44"/>
      <c r="G30" s="46">
        <f t="shared" ref="G30" si="17">SUM(D30:F30)</f>
        <v>0</v>
      </c>
      <c r="H30" s="43">
        <f>SUM(G30:G34)</f>
        <v>237188</v>
      </c>
      <c r="I30" s="53">
        <v>425</v>
      </c>
      <c r="J30" s="53">
        <v>395</v>
      </c>
      <c r="K30" s="53">
        <v>404</v>
      </c>
      <c r="L30" s="53"/>
      <c r="M30" s="34">
        <f t="shared" ref="M30:O30" si="18">(100*D30)/$T$3</f>
        <v>0</v>
      </c>
      <c r="N30" s="34">
        <f t="shared" si="18"/>
        <v>0</v>
      </c>
      <c r="O30" s="34">
        <f t="shared" si="18"/>
        <v>0</v>
      </c>
      <c r="P30" s="34">
        <f t="shared" ref="P30" si="19">(H30*100)/$S$3</f>
        <v>87.847407407407403</v>
      </c>
      <c r="Q30" s="60"/>
      <c r="R30" s="50" t="s">
        <v>59</v>
      </c>
      <c r="S30" s="50" t="s">
        <v>59</v>
      </c>
      <c r="T30" s="108" t="s">
        <v>71</v>
      </c>
    </row>
    <row r="31" spans="1:20" ht="15" customHeight="1" thickBot="1" x14ac:dyDescent="0.35">
      <c r="A31" s="54"/>
      <c r="B31" s="10" t="s">
        <v>122</v>
      </c>
      <c r="C31" s="43"/>
      <c r="D31" s="45"/>
      <c r="E31" s="45"/>
      <c r="F31" s="45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33"/>
      <c r="R31" s="50"/>
      <c r="S31" s="50"/>
      <c r="T31" s="107"/>
    </row>
    <row r="32" spans="1:20" ht="15" customHeight="1" x14ac:dyDescent="0.3">
      <c r="A32" s="54"/>
      <c r="B32" s="11" t="s">
        <v>77</v>
      </c>
      <c r="C32" s="42"/>
      <c r="D32" s="44"/>
      <c r="E32" s="44"/>
      <c r="F32" s="44"/>
      <c r="G32" s="46">
        <f t="shared" ref="G32" si="20">SUM(D32:F32)</f>
        <v>0</v>
      </c>
      <c r="H32" s="53"/>
      <c r="I32" s="53"/>
      <c r="J32" s="53"/>
      <c r="K32" s="53"/>
      <c r="L32" s="53"/>
      <c r="M32" s="49"/>
      <c r="N32" s="49"/>
      <c r="O32" s="49"/>
      <c r="P32" s="49"/>
      <c r="Q32" s="33"/>
      <c r="R32" s="51"/>
      <c r="S32" s="51"/>
      <c r="T32" s="107"/>
    </row>
    <row r="33" spans="1:20" ht="15" customHeight="1" thickBot="1" x14ac:dyDescent="0.35">
      <c r="A33" s="54"/>
      <c r="B33" s="11" t="s">
        <v>78</v>
      </c>
      <c r="C33" s="43"/>
      <c r="D33" s="45"/>
      <c r="E33" s="45"/>
      <c r="F33" s="45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33"/>
      <c r="R33" s="51"/>
      <c r="S33" s="51"/>
      <c r="T33" s="107"/>
    </row>
    <row r="34" spans="1:20" ht="15" customHeight="1" x14ac:dyDescent="0.3">
      <c r="A34" s="54"/>
      <c r="B34" s="11" t="s">
        <v>76</v>
      </c>
      <c r="C34" s="42" t="s">
        <v>37</v>
      </c>
      <c r="D34" s="44">
        <v>78296</v>
      </c>
      <c r="E34" s="44">
        <v>78810</v>
      </c>
      <c r="F34" s="44">
        <v>80082</v>
      </c>
      <c r="G34" s="46">
        <f t="shared" ref="G34" si="21">SUM(D34:F34)</f>
        <v>237188</v>
      </c>
      <c r="H34" s="53"/>
      <c r="I34" s="53"/>
      <c r="J34" s="53"/>
      <c r="K34" s="53"/>
      <c r="L34" s="53"/>
      <c r="M34" s="49"/>
      <c r="N34" s="49"/>
      <c r="O34" s="49"/>
      <c r="P34" s="49"/>
      <c r="Q34" s="33"/>
      <c r="R34" s="51"/>
      <c r="S34" s="51"/>
      <c r="T34" s="107"/>
    </row>
    <row r="35" spans="1:20" ht="15" customHeight="1" thickBot="1" x14ac:dyDescent="0.35">
      <c r="A35" s="54"/>
      <c r="B35" s="11" t="s">
        <v>120</v>
      </c>
      <c r="C35" s="43"/>
      <c r="D35" s="45"/>
      <c r="E35" s="45"/>
      <c r="F35" s="45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34"/>
      <c r="R35" s="51"/>
      <c r="S35" s="51"/>
      <c r="T35" s="50"/>
    </row>
    <row r="36" spans="1:20" ht="15" customHeight="1" x14ac:dyDescent="0.3">
      <c r="A36" s="54">
        <v>6</v>
      </c>
      <c r="B36" s="10" t="s">
        <v>121</v>
      </c>
      <c r="C36" s="42" t="s">
        <v>27</v>
      </c>
      <c r="D36" s="44">
        <v>80387</v>
      </c>
      <c r="E36" s="44">
        <v>39002</v>
      </c>
      <c r="F36" s="44">
        <v>79385</v>
      </c>
      <c r="G36" s="46">
        <f t="shared" ref="G36" si="22">SUM(D36:F36)</f>
        <v>198774</v>
      </c>
      <c r="H36" s="43">
        <f>SUM(G36:G40)</f>
        <v>198774</v>
      </c>
      <c r="I36" s="53">
        <v>425</v>
      </c>
      <c r="J36" s="53">
        <v>205</v>
      </c>
      <c r="K36" s="53">
        <v>420</v>
      </c>
      <c r="L36" s="53"/>
      <c r="M36" s="34">
        <f t="shared" ref="M36:O36" si="23">(100*D36)/$T$3</f>
        <v>89.318888888888893</v>
      </c>
      <c r="N36" s="34">
        <f t="shared" si="23"/>
        <v>43.335555555555558</v>
      </c>
      <c r="O36" s="34">
        <f t="shared" si="23"/>
        <v>88.205555555555549</v>
      </c>
      <c r="P36" s="34">
        <f t="shared" ref="P36" si="24">(H36*100)/$S$3</f>
        <v>73.62</v>
      </c>
      <c r="Q36" s="60"/>
      <c r="R36" s="50" t="s">
        <v>59</v>
      </c>
      <c r="S36" s="50" t="s">
        <v>69</v>
      </c>
      <c r="T36" s="50" t="s">
        <v>59</v>
      </c>
    </row>
    <row r="37" spans="1:20" ht="15" customHeight="1" thickBot="1" x14ac:dyDescent="0.35">
      <c r="A37" s="54"/>
      <c r="B37" s="10" t="s">
        <v>122</v>
      </c>
      <c r="C37" s="43"/>
      <c r="D37" s="45"/>
      <c r="E37" s="45"/>
      <c r="F37" s="45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33"/>
      <c r="R37" s="50"/>
      <c r="S37" s="50"/>
      <c r="T37" s="50"/>
    </row>
    <row r="38" spans="1:20" ht="15" customHeight="1" x14ac:dyDescent="0.3">
      <c r="A38" s="54"/>
      <c r="B38" s="11" t="s">
        <v>77</v>
      </c>
      <c r="C38" s="42"/>
      <c r="D38" s="44"/>
      <c r="E38" s="44"/>
      <c r="F38" s="44"/>
      <c r="G38" s="46">
        <f t="shared" ref="G38" si="25">SUM(D38:F38)</f>
        <v>0</v>
      </c>
      <c r="H38" s="53"/>
      <c r="I38" s="53"/>
      <c r="J38" s="53"/>
      <c r="K38" s="53"/>
      <c r="L38" s="53"/>
      <c r="M38" s="49"/>
      <c r="N38" s="49"/>
      <c r="O38" s="49"/>
      <c r="P38" s="49"/>
      <c r="Q38" s="33"/>
      <c r="R38" s="51"/>
      <c r="S38" s="51"/>
      <c r="T38" s="51"/>
    </row>
    <row r="39" spans="1:20" ht="15" customHeight="1" thickBot="1" x14ac:dyDescent="0.35">
      <c r="A39" s="54"/>
      <c r="B39" s="11" t="s">
        <v>78</v>
      </c>
      <c r="C39" s="43"/>
      <c r="D39" s="45"/>
      <c r="E39" s="45"/>
      <c r="F39" s="45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33"/>
      <c r="R39" s="51"/>
      <c r="S39" s="51"/>
      <c r="T39" s="51"/>
    </row>
    <row r="40" spans="1:20" ht="15" customHeight="1" x14ac:dyDescent="0.3">
      <c r="A40" s="54"/>
      <c r="B40" s="11" t="s">
        <v>76</v>
      </c>
      <c r="C40" s="42"/>
      <c r="D40" s="44"/>
      <c r="E40" s="44"/>
      <c r="F40" s="44"/>
      <c r="G40" s="46">
        <f t="shared" ref="G40" si="26"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33"/>
      <c r="R40" s="51"/>
      <c r="S40" s="51"/>
      <c r="T40" s="51"/>
    </row>
    <row r="41" spans="1:20" ht="15" customHeight="1" thickBot="1" x14ac:dyDescent="0.35">
      <c r="A41" s="54"/>
      <c r="B41" s="11" t="s">
        <v>120</v>
      </c>
      <c r="C41" s="43"/>
      <c r="D41" s="45"/>
      <c r="E41" s="45"/>
      <c r="F41" s="45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34"/>
      <c r="R41" s="51"/>
      <c r="S41" s="51"/>
      <c r="T41" s="51"/>
    </row>
    <row r="42" spans="1:20" ht="15" customHeight="1" x14ac:dyDescent="0.3">
      <c r="A42" s="54">
        <v>7</v>
      </c>
      <c r="B42" s="10" t="s">
        <v>121</v>
      </c>
      <c r="C42" s="42" t="s">
        <v>13</v>
      </c>
      <c r="D42" s="44">
        <v>59465</v>
      </c>
      <c r="E42" s="44">
        <v>35552</v>
      </c>
      <c r="F42" s="44">
        <v>78013</v>
      </c>
      <c r="G42" s="46">
        <f t="shared" ref="G42" si="27">SUM(D42:F42)</f>
        <v>173030</v>
      </c>
      <c r="H42" s="43">
        <f>SUM(G42:G46)</f>
        <v>173030</v>
      </c>
      <c r="I42" s="53">
        <v>321</v>
      </c>
      <c r="J42" s="53">
        <v>192</v>
      </c>
      <c r="K42" s="53">
        <v>422</v>
      </c>
      <c r="L42" s="53"/>
      <c r="M42" s="34">
        <f t="shared" ref="M42:O42" si="28">(100*D42)/$T$3</f>
        <v>66.072222222222223</v>
      </c>
      <c r="N42" s="34">
        <f t="shared" si="28"/>
        <v>39.502222222222223</v>
      </c>
      <c r="O42" s="34">
        <f t="shared" si="28"/>
        <v>86.681111111111107</v>
      </c>
      <c r="P42" s="34">
        <f>(H42*100)/$S$3</f>
        <v>64.085185185185182</v>
      </c>
      <c r="Q42" s="60"/>
      <c r="R42" s="50" t="s">
        <v>67</v>
      </c>
      <c r="S42" s="50" t="s">
        <v>70</v>
      </c>
      <c r="T42" s="50" t="s">
        <v>59</v>
      </c>
    </row>
    <row r="43" spans="1:20" ht="15" customHeight="1" thickBot="1" x14ac:dyDescent="0.35">
      <c r="A43" s="54"/>
      <c r="B43" s="10" t="s">
        <v>122</v>
      </c>
      <c r="C43" s="43"/>
      <c r="D43" s="45"/>
      <c r="E43" s="45"/>
      <c r="F43" s="45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33"/>
      <c r="R43" s="50"/>
      <c r="S43" s="50"/>
      <c r="T43" s="50"/>
    </row>
    <row r="44" spans="1:20" ht="15" customHeight="1" x14ac:dyDescent="0.3">
      <c r="A44" s="54"/>
      <c r="B44" s="11" t="s">
        <v>77</v>
      </c>
      <c r="C44" s="42"/>
      <c r="D44" s="44"/>
      <c r="E44" s="44"/>
      <c r="F44" s="44"/>
      <c r="G44" s="46">
        <f t="shared" ref="G44" si="29"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33"/>
      <c r="R44" s="51"/>
      <c r="S44" s="51"/>
      <c r="T44" s="51"/>
    </row>
    <row r="45" spans="1:20" ht="15" customHeight="1" thickBot="1" x14ac:dyDescent="0.35">
      <c r="A45" s="54"/>
      <c r="B45" s="11" t="s">
        <v>78</v>
      </c>
      <c r="C45" s="43"/>
      <c r="D45" s="45"/>
      <c r="E45" s="45"/>
      <c r="F45" s="45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33"/>
      <c r="R45" s="51"/>
      <c r="S45" s="51"/>
      <c r="T45" s="51"/>
    </row>
    <row r="46" spans="1:20" ht="15" customHeight="1" x14ac:dyDescent="0.3">
      <c r="A46" s="54"/>
      <c r="B46" s="11" t="s">
        <v>76</v>
      </c>
      <c r="C46" s="42"/>
      <c r="D46" s="44"/>
      <c r="E46" s="44"/>
      <c r="F46" s="44"/>
      <c r="G46" s="46">
        <f t="shared" ref="G46" si="30"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33"/>
      <c r="R46" s="51"/>
      <c r="S46" s="51"/>
      <c r="T46" s="51"/>
    </row>
    <row r="47" spans="1:20" ht="15" customHeight="1" thickBot="1" x14ac:dyDescent="0.35">
      <c r="A47" s="54"/>
      <c r="B47" s="11" t="s">
        <v>120</v>
      </c>
      <c r="C47" s="47"/>
      <c r="D47" s="48"/>
      <c r="E47" s="48"/>
      <c r="F47" s="48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34"/>
      <c r="R47" s="51"/>
      <c r="S47" s="51"/>
      <c r="T47" s="51"/>
    </row>
    <row r="48" spans="1:20" ht="15" thickBot="1" x14ac:dyDescent="0.35">
      <c r="C48" s="35" t="s">
        <v>23</v>
      </c>
      <c r="D48" s="37">
        <f>SUM(D6:D47)</f>
        <v>517120</v>
      </c>
      <c r="E48" s="37">
        <f>SUM(E6:E47)</f>
        <v>458802</v>
      </c>
      <c r="F48" s="37">
        <f>SUM(F6:F47)</f>
        <v>554972</v>
      </c>
      <c r="G48" s="37">
        <f>SUM(G6:G46)</f>
        <v>1530894</v>
      </c>
      <c r="H48" s="37">
        <f>SUM(H6:H47)</f>
        <v>1530894</v>
      </c>
    </row>
    <row r="49" spans="3:17" ht="15" thickBot="1" x14ac:dyDescent="0.35">
      <c r="C49" s="36"/>
      <c r="D49" s="38"/>
      <c r="E49" s="38"/>
      <c r="F49" s="38"/>
      <c r="G49" s="38"/>
      <c r="H49" s="38"/>
      <c r="J49" s="18" t="s">
        <v>61</v>
      </c>
      <c r="K49" s="18" t="s">
        <v>62</v>
      </c>
      <c r="L49" s="27" t="s">
        <v>63</v>
      </c>
      <c r="M49" s="28"/>
      <c r="N49" s="18" t="s">
        <v>62</v>
      </c>
      <c r="O49" s="18" t="s">
        <v>64</v>
      </c>
      <c r="P49" s="18" t="s">
        <v>62</v>
      </c>
      <c r="Q49" s="22"/>
    </row>
    <row r="50" spans="3:17" x14ac:dyDescent="0.3">
      <c r="J50" s="19">
        <v>7</v>
      </c>
      <c r="K50" s="19" t="s">
        <v>65</v>
      </c>
      <c r="L50" s="101">
        <v>6</v>
      </c>
      <c r="M50" s="101"/>
      <c r="N50" s="19" t="s">
        <v>65</v>
      </c>
      <c r="O50" s="19"/>
      <c r="P50" s="19"/>
      <c r="Q50" s="23"/>
    </row>
    <row r="51" spans="3:17" x14ac:dyDescent="0.3">
      <c r="J51" s="19"/>
      <c r="K51" s="19"/>
      <c r="L51" s="101">
        <v>7</v>
      </c>
      <c r="M51" s="101"/>
      <c r="N51" s="19" t="s">
        <v>65</v>
      </c>
      <c r="O51" s="19"/>
      <c r="P51" s="19"/>
      <c r="Q51" s="23"/>
    </row>
    <row r="52" spans="3:17" x14ac:dyDescent="0.3">
      <c r="J52" s="20"/>
      <c r="K52" s="20"/>
      <c r="L52" s="114"/>
      <c r="M52" s="114"/>
      <c r="N52" s="20"/>
      <c r="O52" s="20"/>
      <c r="P52" s="20"/>
      <c r="Q52" s="24"/>
    </row>
    <row r="53" spans="3:17" x14ac:dyDescent="0.3">
      <c r="J53" s="20"/>
      <c r="K53" s="20"/>
      <c r="L53" s="115"/>
      <c r="M53" s="116"/>
      <c r="N53" s="20"/>
      <c r="O53" s="20"/>
      <c r="P53" s="20"/>
      <c r="Q53" s="24"/>
    </row>
    <row r="54" spans="3:17" x14ac:dyDescent="0.3">
      <c r="Q54" s="25"/>
    </row>
  </sheetData>
  <mergeCells count="228">
    <mergeCell ref="G32:G33"/>
    <mergeCell ref="F32:F33"/>
    <mergeCell ref="E32:E33"/>
    <mergeCell ref="D32:D33"/>
    <mergeCell ref="C32:C33"/>
    <mergeCell ref="F34:F35"/>
    <mergeCell ref="E34:E35"/>
    <mergeCell ref="D34:D35"/>
    <mergeCell ref="C34:C35"/>
    <mergeCell ref="C26:C27"/>
    <mergeCell ref="G28:G29"/>
    <mergeCell ref="F28:F29"/>
    <mergeCell ref="E28:E29"/>
    <mergeCell ref="D28:D29"/>
    <mergeCell ref="C28:C29"/>
    <mergeCell ref="F30:F31"/>
    <mergeCell ref="E30:E31"/>
    <mergeCell ref="D30:D31"/>
    <mergeCell ref="C30:C31"/>
    <mergeCell ref="G16:G17"/>
    <mergeCell ref="C20:C21"/>
    <mergeCell ref="G22:G23"/>
    <mergeCell ref="F22:F23"/>
    <mergeCell ref="E22:E23"/>
    <mergeCell ref="D22:D23"/>
    <mergeCell ref="C22:C23"/>
    <mergeCell ref="G24:G25"/>
    <mergeCell ref="F24:F25"/>
    <mergeCell ref="E24:E25"/>
    <mergeCell ref="D24:D25"/>
    <mergeCell ref="C24:C25"/>
    <mergeCell ref="E12:E13"/>
    <mergeCell ref="D12:D13"/>
    <mergeCell ref="C12:C13"/>
    <mergeCell ref="F14:F15"/>
    <mergeCell ref="E14:E15"/>
    <mergeCell ref="D14:D15"/>
    <mergeCell ref="C14:C15"/>
    <mergeCell ref="F16:F17"/>
    <mergeCell ref="E16:E17"/>
    <mergeCell ref="D16:D17"/>
    <mergeCell ref="C16:C17"/>
    <mergeCell ref="T12:T17"/>
    <mergeCell ref="A18:A23"/>
    <mergeCell ref="F38:F39"/>
    <mergeCell ref="E38:E39"/>
    <mergeCell ref="D38:D39"/>
    <mergeCell ref="C38:C39"/>
    <mergeCell ref="F40:F41"/>
    <mergeCell ref="E40:E41"/>
    <mergeCell ref="D40:D41"/>
    <mergeCell ref="C40:C41"/>
    <mergeCell ref="Q12:Q17"/>
    <mergeCell ref="Q18:Q23"/>
    <mergeCell ref="Q24:Q29"/>
    <mergeCell ref="Q30:Q35"/>
    <mergeCell ref="Q36:Q41"/>
    <mergeCell ref="G14:G15"/>
    <mergeCell ref="G18:G19"/>
    <mergeCell ref="G20:G21"/>
    <mergeCell ref="G26:G27"/>
    <mergeCell ref="G30:G31"/>
    <mergeCell ref="G34:G35"/>
    <mergeCell ref="G38:G39"/>
    <mergeCell ref="G40:G41"/>
    <mergeCell ref="H18:H23"/>
    <mergeCell ref="S1:T1"/>
    <mergeCell ref="L6:L11"/>
    <mergeCell ref="M6:M11"/>
    <mergeCell ref="A1:C3"/>
    <mergeCell ref="D1:R3"/>
    <mergeCell ref="N6:N11"/>
    <mergeCell ref="O6:O11"/>
    <mergeCell ref="P6:P11"/>
    <mergeCell ref="R6:R11"/>
    <mergeCell ref="S6:S11"/>
    <mergeCell ref="T6:T11"/>
    <mergeCell ref="L4:L5"/>
    <mergeCell ref="M4:P4"/>
    <mergeCell ref="R4:T4"/>
    <mergeCell ref="Q4:Q5"/>
    <mergeCell ref="Q6:Q11"/>
    <mergeCell ref="G6:G7"/>
    <mergeCell ref="G10:G11"/>
    <mergeCell ref="F6:F7"/>
    <mergeCell ref="E6:E7"/>
    <mergeCell ref="D6:D7"/>
    <mergeCell ref="C6:C7"/>
    <mergeCell ref="G8:G9"/>
    <mergeCell ref="F8:F9"/>
    <mergeCell ref="A4:A5"/>
    <mergeCell ref="B4:B5"/>
    <mergeCell ref="C4:C5"/>
    <mergeCell ref="D4:F4"/>
    <mergeCell ref="G4:G5"/>
    <mergeCell ref="H4:H5"/>
    <mergeCell ref="I4:K4"/>
    <mergeCell ref="A6:A11"/>
    <mergeCell ref="H6:H11"/>
    <mergeCell ref="I6:I11"/>
    <mergeCell ref="J6:J11"/>
    <mergeCell ref="K6:K11"/>
    <mergeCell ref="E8:E9"/>
    <mergeCell ref="D8:D9"/>
    <mergeCell ref="C8:C9"/>
    <mergeCell ref="F10:F11"/>
    <mergeCell ref="E10:E11"/>
    <mergeCell ref="D10:D11"/>
    <mergeCell ref="C10:C11"/>
    <mergeCell ref="R12:R17"/>
    <mergeCell ref="S12:S17"/>
    <mergeCell ref="A12:A17"/>
    <mergeCell ref="H12:H17"/>
    <mergeCell ref="I12:I17"/>
    <mergeCell ref="J12:J17"/>
    <mergeCell ref="K12:K17"/>
    <mergeCell ref="L12:L17"/>
    <mergeCell ref="P18:P23"/>
    <mergeCell ref="R18:R23"/>
    <mergeCell ref="S18:S23"/>
    <mergeCell ref="K18:K23"/>
    <mergeCell ref="L18:L23"/>
    <mergeCell ref="M18:M23"/>
    <mergeCell ref="N18:N23"/>
    <mergeCell ref="O18:O23"/>
    <mergeCell ref="M12:M17"/>
    <mergeCell ref="N12:N17"/>
    <mergeCell ref="O12:O17"/>
    <mergeCell ref="P12:P17"/>
    <mergeCell ref="I18:I23"/>
    <mergeCell ref="J18:J23"/>
    <mergeCell ref="G12:G13"/>
    <mergeCell ref="F12:F13"/>
    <mergeCell ref="T18:T23"/>
    <mergeCell ref="A24:A29"/>
    <mergeCell ref="H24:H29"/>
    <mergeCell ref="I24:I29"/>
    <mergeCell ref="J24:J29"/>
    <mergeCell ref="K24:K29"/>
    <mergeCell ref="L24:L29"/>
    <mergeCell ref="T24:T29"/>
    <mergeCell ref="M24:M29"/>
    <mergeCell ref="N24:N29"/>
    <mergeCell ref="O24:O29"/>
    <mergeCell ref="P24:P29"/>
    <mergeCell ref="R24:R29"/>
    <mergeCell ref="S24:S29"/>
    <mergeCell ref="F18:F19"/>
    <mergeCell ref="E18:E19"/>
    <mergeCell ref="D18:D19"/>
    <mergeCell ref="C18:C19"/>
    <mergeCell ref="F20:F21"/>
    <mergeCell ref="E20:E21"/>
    <mergeCell ref="D20:D21"/>
    <mergeCell ref="F26:F27"/>
    <mergeCell ref="E26:E27"/>
    <mergeCell ref="D26:D27"/>
    <mergeCell ref="P30:P35"/>
    <mergeCell ref="R30:R35"/>
    <mergeCell ref="S30:S35"/>
    <mergeCell ref="T30:T35"/>
    <mergeCell ref="A36:A41"/>
    <mergeCell ref="H36:H41"/>
    <mergeCell ref="I36:I41"/>
    <mergeCell ref="J36:J41"/>
    <mergeCell ref="K36:K41"/>
    <mergeCell ref="L36:L41"/>
    <mergeCell ref="A30:A35"/>
    <mergeCell ref="H30:H35"/>
    <mergeCell ref="I30:I35"/>
    <mergeCell ref="J30:J35"/>
    <mergeCell ref="K30:K35"/>
    <mergeCell ref="L30:L35"/>
    <mergeCell ref="M30:M35"/>
    <mergeCell ref="N30:N35"/>
    <mergeCell ref="O30:O35"/>
    <mergeCell ref="T36:T41"/>
    <mergeCell ref="M36:M41"/>
    <mergeCell ref="N36:N41"/>
    <mergeCell ref="O36:O41"/>
    <mergeCell ref="P36:P41"/>
    <mergeCell ref="L50:M50"/>
    <mergeCell ref="L51:M51"/>
    <mergeCell ref="L52:M52"/>
    <mergeCell ref="L53:M53"/>
    <mergeCell ref="P42:P47"/>
    <mergeCell ref="R42:R47"/>
    <mergeCell ref="S42:S47"/>
    <mergeCell ref="A42:A47"/>
    <mergeCell ref="H42:H47"/>
    <mergeCell ref="I42:I47"/>
    <mergeCell ref="J42:J47"/>
    <mergeCell ref="K42:K47"/>
    <mergeCell ref="L42:L47"/>
    <mergeCell ref="M42:M47"/>
    <mergeCell ref="N42:N47"/>
    <mergeCell ref="O42:O47"/>
    <mergeCell ref="F44:F45"/>
    <mergeCell ref="E44:E45"/>
    <mergeCell ref="D44:D45"/>
    <mergeCell ref="C44:C45"/>
    <mergeCell ref="F46:F47"/>
    <mergeCell ref="E46:E47"/>
    <mergeCell ref="D46:D47"/>
    <mergeCell ref="C46:C47"/>
    <mergeCell ref="T42:T47"/>
    <mergeCell ref="C48:C49"/>
    <mergeCell ref="D48:D49"/>
    <mergeCell ref="E48:E49"/>
    <mergeCell ref="F48:F49"/>
    <mergeCell ref="G48:G49"/>
    <mergeCell ref="H48:H49"/>
    <mergeCell ref="L49:M49"/>
    <mergeCell ref="R36:R41"/>
    <mergeCell ref="S36:S41"/>
    <mergeCell ref="F42:F43"/>
    <mergeCell ref="E42:E43"/>
    <mergeCell ref="D42:D43"/>
    <mergeCell ref="C42:C43"/>
    <mergeCell ref="Q42:Q47"/>
    <mergeCell ref="G42:G43"/>
    <mergeCell ref="G44:G45"/>
    <mergeCell ref="G46:G47"/>
    <mergeCell ref="G36:G37"/>
    <mergeCell ref="F36:F37"/>
    <mergeCell ref="E36:E37"/>
    <mergeCell ref="D36:D37"/>
    <mergeCell ref="C36:C37"/>
  </mergeCells>
  <pageMargins left="3.937007874015748E-2" right="3.937007874015748E-2" top="3.937007874015748E-2" bottom="3.937007874015748E-2" header="0.31496062992125984" footer="0.31496062992125984"/>
  <pageSetup paperSize="8" scale="9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2089-C950-47F2-8568-4E4FDF330F8C}">
  <sheetPr>
    <pageSetUpPr fitToPage="1"/>
  </sheetPr>
  <dimension ref="A1:T56"/>
  <sheetViews>
    <sheetView zoomScale="85" zoomScaleNormal="85" workbookViewId="0">
      <selection activeCell="S24" sqref="S24:S29"/>
    </sheetView>
  </sheetViews>
  <sheetFormatPr defaultRowHeight="14.4" x14ac:dyDescent="0.3"/>
  <cols>
    <col min="1" max="1" width="7.88671875" customWidth="1"/>
    <col min="2" max="2" width="12.886718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7" width="12.88671875" customWidth="1"/>
    <col min="18" max="20" width="20.77734375" customWidth="1"/>
  </cols>
  <sheetData>
    <row r="1" spans="1:20" ht="15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9" t="s">
        <v>72</v>
      </c>
      <c r="T1" s="90"/>
    </row>
    <row r="2" spans="1:20" ht="15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7" t="s">
        <v>19</v>
      </c>
      <c r="T2" s="7" t="s">
        <v>20</v>
      </c>
    </row>
    <row r="3" spans="1:20" ht="15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8"/>
      <c r="S3" s="8">
        <v>270000</v>
      </c>
      <c r="T3" s="6">
        <v>90000</v>
      </c>
    </row>
    <row r="4" spans="1:20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1" t="s">
        <v>75</v>
      </c>
      <c r="R4" s="66" t="s">
        <v>11</v>
      </c>
      <c r="S4" s="67"/>
      <c r="T4" s="68"/>
    </row>
    <row r="5" spans="1:20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21" t="s">
        <v>10</v>
      </c>
      <c r="Q5" s="65"/>
      <c r="R5" s="1" t="s">
        <v>4</v>
      </c>
      <c r="S5" s="2" t="s">
        <v>5</v>
      </c>
      <c r="T5" s="3" t="s">
        <v>6</v>
      </c>
    </row>
    <row r="6" spans="1:20" ht="15" customHeight="1" x14ac:dyDescent="0.3">
      <c r="A6" s="69">
        <v>1</v>
      </c>
      <c r="B6" s="10" t="s">
        <v>121</v>
      </c>
      <c r="C6" s="46" t="s">
        <v>12</v>
      </c>
      <c r="D6" s="70">
        <v>76111</v>
      </c>
      <c r="E6" s="70">
        <v>74419</v>
      </c>
      <c r="F6" s="70"/>
      <c r="G6" s="46">
        <f>SUM(D6:F6)</f>
        <v>150530</v>
      </c>
      <c r="H6" s="46">
        <f>SUM(G6:G10)</f>
        <v>150530</v>
      </c>
      <c r="I6" s="46">
        <v>401</v>
      </c>
      <c r="J6" s="46">
        <v>392</v>
      </c>
      <c r="K6" s="46"/>
      <c r="L6" s="46"/>
      <c r="M6" s="60">
        <f>(100*D6)/$T$3</f>
        <v>84.567777777777778</v>
      </c>
      <c r="N6" s="60">
        <f t="shared" ref="N6:O6" si="0">(100*E6)/$T$3</f>
        <v>82.687777777777782</v>
      </c>
      <c r="O6" s="60">
        <f t="shared" si="0"/>
        <v>0</v>
      </c>
      <c r="P6" s="60">
        <f>(H6*100)/$S$3</f>
        <v>55.751851851851853</v>
      </c>
      <c r="Q6" s="31" t="s">
        <v>111</v>
      </c>
      <c r="R6" s="39" t="s">
        <v>73</v>
      </c>
      <c r="S6" s="39" t="s">
        <v>73</v>
      </c>
      <c r="T6" s="106"/>
    </row>
    <row r="7" spans="1:20" ht="15" customHeight="1" thickBot="1" x14ac:dyDescent="0.35">
      <c r="A7" s="58"/>
      <c r="B7" s="10" t="s">
        <v>119</v>
      </c>
      <c r="C7" s="43"/>
      <c r="D7" s="45"/>
      <c r="E7" s="45"/>
      <c r="F7" s="45"/>
      <c r="G7" s="43"/>
      <c r="H7" s="56"/>
      <c r="I7" s="56"/>
      <c r="J7" s="56"/>
      <c r="K7" s="56"/>
      <c r="L7" s="56"/>
      <c r="M7" s="33"/>
      <c r="N7" s="33"/>
      <c r="O7" s="33"/>
      <c r="P7" s="33"/>
      <c r="Q7" s="31"/>
      <c r="R7" s="40"/>
      <c r="S7" s="40"/>
      <c r="T7" s="107"/>
    </row>
    <row r="8" spans="1:20" ht="15" customHeight="1" x14ac:dyDescent="0.3">
      <c r="A8" s="58"/>
      <c r="B8" s="11" t="s">
        <v>60</v>
      </c>
      <c r="C8" s="42"/>
      <c r="D8" s="44"/>
      <c r="E8" s="44"/>
      <c r="F8" s="44"/>
      <c r="G8" s="46">
        <f t="shared" ref="G8" si="1">SUM(D8:F8)</f>
        <v>0</v>
      </c>
      <c r="H8" s="56"/>
      <c r="I8" s="56"/>
      <c r="J8" s="56"/>
      <c r="K8" s="56"/>
      <c r="L8" s="56"/>
      <c r="M8" s="33"/>
      <c r="N8" s="33"/>
      <c r="O8" s="33"/>
      <c r="P8" s="33"/>
      <c r="Q8" s="31" t="s">
        <v>112</v>
      </c>
      <c r="R8" s="40"/>
      <c r="S8" s="40"/>
      <c r="T8" s="107"/>
    </row>
    <row r="9" spans="1:20" ht="15" customHeight="1" thickBot="1" x14ac:dyDescent="0.35">
      <c r="A9" s="58"/>
      <c r="B9" s="10" t="s">
        <v>119</v>
      </c>
      <c r="C9" s="43"/>
      <c r="D9" s="45"/>
      <c r="E9" s="45"/>
      <c r="F9" s="45"/>
      <c r="G9" s="43"/>
      <c r="H9" s="56"/>
      <c r="I9" s="56"/>
      <c r="J9" s="56"/>
      <c r="K9" s="56"/>
      <c r="L9" s="56"/>
      <c r="M9" s="33"/>
      <c r="N9" s="33"/>
      <c r="O9" s="33"/>
      <c r="P9" s="33"/>
      <c r="Q9" s="31"/>
      <c r="R9" s="40"/>
      <c r="S9" s="40"/>
      <c r="T9" s="107"/>
    </row>
    <row r="10" spans="1:20" ht="15" customHeight="1" x14ac:dyDescent="0.3">
      <c r="A10" s="58"/>
      <c r="B10" s="10" t="s">
        <v>119</v>
      </c>
      <c r="C10" s="42"/>
      <c r="D10" s="44"/>
      <c r="E10" s="44"/>
      <c r="F10" s="44"/>
      <c r="G10" s="46">
        <f t="shared" ref="G10" si="2">SUM(D10:F10)</f>
        <v>0</v>
      </c>
      <c r="H10" s="56"/>
      <c r="I10" s="56"/>
      <c r="J10" s="56"/>
      <c r="K10" s="56"/>
      <c r="L10" s="56"/>
      <c r="M10" s="33"/>
      <c r="N10" s="33"/>
      <c r="O10" s="33"/>
      <c r="P10" s="33"/>
      <c r="Q10" s="31"/>
      <c r="R10" s="40"/>
      <c r="S10" s="40"/>
      <c r="T10" s="107"/>
    </row>
    <row r="11" spans="1:20" ht="15" customHeight="1" thickBot="1" x14ac:dyDescent="0.35">
      <c r="A11" s="59"/>
      <c r="B11" s="10" t="s">
        <v>119</v>
      </c>
      <c r="C11" s="43"/>
      <c r="D11" s="45"/>
      <c r="E11" s="45"/>
      <c r="F11" s="45"/>
      <c r="G11" s="43"/>
      <c r="H11" s="43"/>
      <c r="I11" s="43"/>
      <c r="J11" s="43"/>
      <c r="K11" s="43"/>
      <c r="L11" s="43"/>
      <c r="M11" s="34"/>
      <c r="N11" s="34"/>
      <c r="O11" s="34"/>
      <c r="P11" s="34"/>
      <c r="Q11" s="31"/>
      <c r="R11" s="41"/>
      <c r="S11" s="41"/>
      <c r="T11" s="50"/>
    </row>
    <row r="12" spans="1:20" ht="15" customHeight="1" x14ac:dyDescent="0.3">
      <c r="A12" s="57">
        <v>2</v>
      </c>
      <c r="B12" s="10" t="s">
        <v>121</v>
      </c>
      <c r="C12" s="42" t="s">
        <v>12</v>
      </c>
      <c r="D12" s="44">
        <v>75021</v>
      </c>
      <c r="E12" s="44">
        <v>73330</v>
      </c>
      <c r="F12" s="44"/>
      <c r="G12" s="46">
        <f t="shared" ref="G12" si="3">SUM(D12:F12)</f>
        <v>148351</v>
      </c>
      <c r="H12" s="42">
        <f t="shared" ref="H12" si="4">SUM(G12:G16)</f>
        <v>148351</v>
      </c>
      <c r="I12" s="42">
        <v>400</v>
      </c>
      <c r="J12" s="42">
        <v>391</v>
      </c>
      <c r="K12" s="42"/>
      <c r="L12" s="42"/>
      <c r="M12" s="32">
        <f>(100*D12)/$T$3</f>
        <v>83.356666666666669</v>
      </c>
      <c r="N12" s="32">
        <f t="shared" ref="N12:O12" si="5">(100*E12)/$T$3</f>
        <v>81.477777777777774</v>
      </c>
      <c r="O12" s="32">
        <f t="shared" si="5"/>
        <v>0</v>
      </c>
      <c r="P12" s="32">
        <f>(H12*100)/$S$3</f>
        <v>54.944814814814812</v>
      </c>
      <c r="Q12" s="31" t="s">
        <v>117</v>
      </c>
      <c r="R12" s="55" t="s">
        <v>59</v>
      </c>
      <c r="S12" s="55" t="s">
        <v>59</v>
      </c>
      <c r="T12" s="108"/>
    </row>
    <row r="13" spans="1:20" ht="15" customHeight="1" thickBot="1" x14ac:dyDescent="0.35">
      <c r="A13" s="58"/>
      <c r="B13" s="10" t="s">
        <v>119</v>
      </c>
      <c r="C13" s="43"/>
      <c r="D13" s="45"/>
      <c r="E13" s="45"/>
      <c r="F13" s="45"/>
      <c r="G13" s="43"/>
      <c r="H13" s="56"/>
      <c r="I13" s="56"/>
      <c r="J13" s="56"/>
      <c r="K13" s="56"/>
      <c r="L13" s="56"/>
      <c r="M13" s="33"/>
      <c r="N13" s="33"/>
      <c r="O13" s="33"/>
      <c r="P13" s="33"/>
      <c r="Q13" s="31"/>
      <c r="R13" s="40"/>
      <c r="S13" s="40"/>
      <c r="T13" s="107"/>
    </row>
    <row r="14" spans="1:20" ht="15" customHeight="1" x14ac:dyDescent="0.3">
      <c r="A14" s="58"/>
      <c r="B14" s="11" t="s">
        <v>60</v>
      </c>
      <c r="C14" s="42"/>
      <c r="D14" s="44"/>
      <c r="E14" s="44"/>
      <c r="F14" s="44"/>
      <c r="G14" s="46">
        <f t="shared" ref="G14" si="6">SUM(D14:F14)</f>
        <v>0</v>
      </c>
      <c r="H14" s="56"/>
      <c r="I14" s="56"/>
      <c r="J14" s="56"/>
      <c r="K14" s="56"/>
      <c r="L14" s="56"/>
      <c r="M14" s="33"/>
      <c r="N14" s="33"/>
      <c r="O14" s="33"/>
      <c r="P14" s="33"/>
      <c r="Q14" s="31" t="s">
        <v>113</v>
      </c>
      <c r="R14" s="40"/>
      <c r="S14" s="40"/>
      <c r="T14" s="107"/>
    </row>
    <row r="15" spans="1:20" ht="15" customHeight="1" thickBot="1" x14ac:dyDescent="0.35">
      <c r="A15" s="58"/>
      <c r="B15" s="10" t="s">
        <v>119</v>
      </c>
      <c r="C15" s="43"/>
      <c r="D15" s="45"/>
      <c r="E15" s="45"/>
      <c r="F15" s="45"/>
      <c r="G15" s="43"/>
      <c r="H15" s="56"/>
      <c r="I15" s="56"/>
      <c r="J15" s="56"/>
      <c r="K15" s="56"/>
      <c r="L15" s="56"/>
      <c r="M15" s="33"/>
      <c r="N15" s="33"/>
      <c r="O15" s="33"/>
      <c r="P15" s="33"/>
      <c r="Q15" s="31"/>
      <c r="R15" s="40"/>
      <c r="S15" s="40"/>
      <c r="T15" s="107"/>
    </row>
    <row r="16" spans="1:20" ht="15" customHeight="1" x14ac:dyDescent="0.3">
      <c r="A16" s="58"/>
      <c r="B16" s="10" t="s">
        <v>119</v>
      </c>
      <c r="C16" s="42"/>
      <c r="D16" s="44"/>
      <c r="E16" s="44"/>
      <c r="F16" s="44"/>
      <c r="G16" s="46">
        <f t="shared" ref="G16" si="7">SUM(D16:F16)</f>
        <v>0</v>
      </c>
      <c r="H16" s="56"/>
      <c r="I16" s="56"/>
      <c r="J16" s="56"/>
      <c r="K16" s="56"/>
      <c r="L16" s="56"/>
      <c r="M16" s="33"/>
      <c r="N16" s="33"/>
      <c r="O16" s="33"/>
      <c r="P16" s="33"/>
      <c r="Q16" s="31"/>
      <c r="R16" s="40"/>
      <c r="S16" s="40"/>
      <c r="T16" s="107"/>
    </row>
    <row r="17" spans="1:20" ht="15" customHeight="1" thickBot="1" x14ac:dyDescent="0.35">
      <c r="A17" s="59"/>
      <c r="B17" s="10" t="s">
        <v>119</v>
      </c>
      <c r="C17" s="43"/>
      <c r="D17" s="45"/>
      <c r="E17" s="45"/>
      <c r="F17" s="45"/>
      <c r="G17" s="43"/>
      <c r="H17" s="43"/>
      <c r="I17" s="43"/>
      <c r="J17" s="43"/>
      <c r="K17" s="43"/>
      <c r="L17" s="43"/>
      <c r="M17" s="34"/>
      <c r="N17" s="34"/>
      <c r="O17" s="34"/>
      <c r="P17" s="34"/>
      <c r="Q17" s="31"/>
      <c r="R17" s="41"/>
      <c r="S17" s="41"/>
      <c r="T17" s="50"/>
    </row>
    <row r="18" spans="1:20" ht="15" customHeight="1" x14ac:dyDescent="0.3">
      <c r="A18" s="57">
        <v>3</v>
      </c>
      <c r="B18" s="10" t="s">
        <v>121</v>
      </c>
      <c r="C18" s="42" t="s">
        <v>12</v>
      </c>
      <c r="D18" s="44">
        <v>80255</v>
      </c>
      <c r="E18" s="44">
        <v>80170</v>
      </c>
      <c r="F18" s="44"/>
      <c r="G18" s="46">
        <f t="shared" ref="G18" si="8">SUM(D18:F18)</f>
        <v>160425</v>
      </c>
      <c r="H18" s="42">
        <f t="shared" ref="H18" si="9">SUM(G18:G22)</f>
        <v>160425</v>
      </c>
      <c r="I18" s="42"/>
      <c r="J18" s="42"/>
      <c r="K18" s="42"/>
      <c r="L18" s="42"/>
      <c r="M18" s="32">
        <f t="shared" ref="M18:O18" si="10">(100*D18)/$T$3</f>
        <v>89.172222222222217</v>
      </c>
      <c r="N18" s="32">
        <f t="shared" si="10"/>
        <v>89.077777777777783</v>
      </c>
      <c r="O18" s="32">
        <f t="shared" si="10"/>
        <v>0</v>
      </c>
      <c r="P18" s="32">
        <f t="shared" ref="P18" si="11">(H18*100)/$S$3</f>
        <v>59.416666666666664</v>
      </c>
      <c r="Q18" s="31" t="s">
        <v>114</v>
      </c>
      <c r="R18" s="55" t="s">
        <v>59</v>
      </c>
      <c r="S18" s="55" t="s">
        <v>59</v>
      </c>
      <c r="T18" s="119"/>
    </row>
    <row r="19" spans="1:20" ht="15" customHeight="1" thickBot="1" x14ac:dyDescent="0.35">
      <c r="A19" s="58"/>
      <c r="B19" s="10" t="s">
        <v>119</v>
      </c>
      <c r="C19" s="43"/>
      <c r="D19" s="45"/>
      <c r="E19" s="45"/>
      <c r="F19" s="45"/>
      <c r="G19" s="43"/>
      <c r="H19" s="56"/>
      <c r="I19" s="56"/>
      <c r="J19" s="56"/>
      <c r="K19" s="56"/>
      <c r="L19" s="56"/>
      <c r="M19" s="33"/>
      <c r="N19" s="33"/>
      <c r="O19" s="33"/>
      <c r="P19" s="33"/>
      <c r="Q19" s="31"/>
      <c r="R19" s="40"/>
      <c r="S19" s="40"/>
      <c r="T19" s="120"/>
    </row>
    <row r="20" spans="1:20" ht="15" customHeight="1" x14ac:dyDescent="0.3">
      <c r="A20" s="58"/>
      <c r="B20" s="11" t="s">
        <v>60</v>
      </c>
      <c r="C20" s="42"/>
      <c r="D20" s="44"/>
      <c r="E20" s="44"/>
      <c r="F20" s="44"/>
      <c r="G20" s="46">
        <f t="shared" ref="G20" si="12">SUM(D20:F20)</f>
        <v>0</v>
      </c>
      <c r="H20" s="56"/>
      <c r="I20" s="56"/>
      <c r="J20" s="56"/>
      <c r="K20" s="56"/>
      <c r="L20" s="56"/>
      <c r="M20" s="33"/>
      <c r="N20" s="33"/>
      <c r="O20" s="33"/>
      <c r="P20" s="33"/>
      <c r="Q20" s="31" t="s">
        <v>115</v>
      </c>
      <c r="R20" s="40"/>
      <c r="S20" s="40"/>
      <c r="T20" s="120"/>
    </row>
    <row r="21" spans="1:20" ht="15" customHeight="1" thickBot="1" x14ac:dyDescent="0.35">
      <c r="A21" s="58"/>
      <c r="B21" s="10" t="s">
        <v>119</v>
      </c>
      <c r="C21" s="43"/>
      <c r="D21" s="45"/>
      <c r="E21" s="45"/>
      <c r="F21" s="45"/>
      <c r="G21" s="43"/>
      <c r="H21" s="56"/>
      <c r="I21" s="56"/>
      <c r="J21" s="56"/>
      <c r="K21" s="56"/>
      <c r="L21" s="56"/>
      <c r="M21" s="33"/>
      <c r="N21" s="33"/>
      <c r="O21" s="33"/>
      <c r="P21" s="33"/>
      <c r="Q21" s="31"/>
      <c r="R21" s="40"/>
      <c r="S21" s="40"/>
      <c r="T21" s="120"/>
    </row>
    <row r="22" spans="1:20" ht="15" customHeight="1" x14ac:dyDescent="0.3">
      <c r="A22" s="58"/>
      <c r="B22" s="10" t="s">
        <v>119</v>
      </c>
      <c r="C22" s="42"/>
      <c r="D22" s="44"/>
      <c r="E22" s="44"/>
      <c r="F22" s="44"/>
      <c r="G22" s="46">
        <f t="shared" ref="G22" si="13">SUM(D22:F22)</f>
        <v>0</v>
      </c>
      <c r="H22" s="56"/>
      <c r="I22" s="56"/>
      <c r="J22" s="56"/>
      <c r="K22" s="56"/>
      <c r="L22" s="56"/>
      <c r="M22" s="33"/>
      <c r="N22" s="33"/>
      <c r="O22" s="33"/>
      <c r="P22" s="33"/>
      <c r="Q22" s="31"/>
      <c r="R22" s="40"/>
      <c r="S22" s="40"/>
      <c r="T22" s="120"/>
    </row>
    <row r="23" spans="1:20" ht="15" customHeight="1" thickBot="1" x14ac:dyDescent="0.35">
      <c r="A23" s="59"/>
      <c r="B23" s="10" t="s">
        <v>119</v>
      </c>
      <c r="C23" s="43"/>
      <c r="D23" s="45"/>
      <c r="E23" s="45"/>
      <c r="F23" s="45"/>
      <c r="G23" s="43"/>
      <c r="H23" s="43"/>
      <c r="I23" s="43"/>
      <c r="J23" s="43"/>
      <c r="K23" s="43"/>
      <c r="L23" s="43"/>
      <c r="M23" s="34"/>
      <c r="N23" s="34"/>
      <c r="O23" s="34"/>
      <c r="P23" s="34"/>
      <c r="Q23" s="31"/>
      <c r="R23" s="41"/>
      <c r="S23" s="41"/>
      <c r="T23" s="121"/>
    </row>
    <row r="24" spans="1:20" ht="15" customHeight="1" x14ac:dyDescent="0.3">
      <c r="A24" s="54">
        <v>4</v>
      </c>
      <c r="B24" s="10" t="s">
        <v>121</v>
      </c>
      <c r="C24" s="42" t="s">
        <v>12</v>
      </c>
      <c r="D24" s="44">
        <v>77672</v>
      </c>
      <c r="E24" s="44">
        <v>71736</v>
      </c>
      <c r="F24" s="44"/>
      <c r="G24" s="46">
        <f t="shared" ref="G24" si="14">SUM(D24:F24)</f>
        <v>149408</v>
      </c>
      <c r="H24" s="43">
        <f>SUM(G24:G28)</f>
        <v>149408</v>
      </c>
      <c r="I24" s="53">
        <v>402</v>
      </c>
      <c r="J24" s="53">
        <v>371</v>
      </c>
      <c r="K24" s="53"/>
      <c r="L24" s="53"/>
      <c r="M24" s="34">
        <f t="shared" ref="M24:O24" si="15">(100*D24)/$T$3</f>
        <v>86.302222222222227</v>
      </c>
      <c r="N24" s="34">
        <f t="shared" si="15"/>
        <v>79.706666666666663</v>
      </c>
      <c r="O24" s="34">
        <f t="shared" si="15"/>
        <v>0</v>
      </c>
      <c r="P24" s="34">
        <f t="shared" ref="P24" si="16">(H24*100)/$S$3</f>
        <v>55.336296296296297</v>
      </c>
      <c r="Q24" s="31" t="s">
        <v>116</v>
      </c>
      <c r="R24" s="41" t="s">
        <v>73</v>
      </c>
      <c r="S24" s="41" t="s">
        <v>73</v>
      </c>
      <c r="T24" s="108"/>
    </row>
    <row r="25" spans="1:20" ht="15" customHeight="1" thickBot="1" x14ac:dyDescent="0.35">
      <c r="A25" s="54"/>
      <c r="B25" s="10" t="s">
        <v>119</v>
      </c>
      <c r="C25" s="43"/>
      <c r="D25" s="45"/>
      <c r="E25" s="45"/>
      <c r="F25" s="45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31"/>
      <c r="R25" s="41"/>
      <c r="S25" s="41"/>
      <c r="T25" s="107"/>
    </row>
    <row r="26" spans="1:20" ht="15" customHeight="1" x14ac:dyDescent="0.3">
      <c r="A26" s="54"/>
      <c r="B26" s="11" t="s">
        <v>60</v>
      </c>
      <c r="C26" s="42" t="s">
        <v>25</v>
      </c>
      <c r="D26" s="44"/>
      <c r="E26" s="44"/>
      <c r="F26" s="44"/>
      <c r="G26" s="46">
        <f t="shared" ref="G26" si="17">SUM(D26:F26)</f>
        <v>0</v>
      </c>
      <c r="H26" s="53"/>
      <c r="I26" s="53"/>
      <c r="J26" s="53"/>
      <c r="K26" s="53"/>
      <c r="L26" s="53"/>
      <c r="M26" s="49"/>
      <c r="N26" s="49"/>
      <c r="O26" s="49"/>
      <c r="P26" s="49"/>
      <c r="Q26" s="31" t="s">
        <v>118</v>
      </c>
      <c r="R26" s="118"/>
      <c r="S26" s="118"/>
      <c r="T26" s="107"/>
    </row>
    <row r="27" spans="1:20" ht="15" customHeight="1" thickBot="1" x14ac:dyDescent="0.35">
      <c r="A27" s="54"/>
      <c r="B27" s="10" t="s">
        <v>119</v>
      </c>
      <c r="C27" s="43"/>
      <c r="D27" s="45"/>
      <c r="E27" s="45"/>
      <c r="F27" s="45"/>
      <c r="G27" s="43"/>
      <c r="H27" s="53"/>
      <c r="I27" s="53"/>
      <c r="J27" s="53"/>
      <c r="K27" s="53"/>
      <c r="L27" s="53"/>
      <c r="M27" s="49"/>
      <c r="N27" s="49"/>
      <c r="O27" s="49"/>
      <c r="P27" s="49"/>
      <c r="Q27" s="31"/>
      <c r="R27" s="118"/>
      <c r="S27" s="118"/>
      <c r="T27" s="107"/>
    </row>
    <row r="28" spans="1:20" ht="15" customHeight="1" x14ac:dyDescent="0.3">
      <c r="A28" s="54"/>
      <c r="B28" s="10" t="s">
        <v>119</v>
      </c>
      <c r="C28" s="42" t="s">
        <v>37</v>
      </c>
      <c r="D28" s="44"/>
      <c r="E28" s="44"/>
      <c r="F28" s="44"/>
      <c r="G28" s="46">
        <f t="shared" ref="G28" si="18">SUM(D28:F28)</f>
        <v>0</v>
      </c>
      <c r="H28" s="53"/>
      <c r="I28" s="53"/>
      <c r="J28" s="53"/>
      <c r="K28" s="53"/>
      <c r="L28" s="53"/>
      <c r="M28" s="49"/>
      <c r="N28" s="49"/>
      <c r="O28" s="49"/>
      <c r="P28" s="49"/>
      <c r="Q28" s="31"/>
      <c r="R28" s="118"/>
      <c r="S28" s="118"/>
      <c r="T28" s="107"/>
    </row>
    <row r="29" spans="1:20" ht="15" customHeight="1" thickBot="1" x14ac:dyDescent="0.35">
      <c r="A29" s="54"/>
      <c r="B29" s="10" t="s">
        <v>119</v>
      </c>
      <c r="C29" s="43"/>
      <c r="D29" s="45"/>
      <c r="E29" s="45"/>
      <c r="F29" s="45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31"/>
      <c r="R29" s="118"/>
      <c r="S29" s="118"/>
      <c r="T29" s="50"/>
    </row>
    <row r="30" spans="1:20" ht="15" customHeight="1" x14ac:dyDescent="0.3">
      <c r="A30" s="54">
        <v>5</v>
      </c>
      <c r="B30" s="10" t="s">
        <v>121</v>
      </c>
      <c r="C30" s="42" t="s">
        <v>12</v>
      </c>
      <c r="D30" s="44"/>
      <c r="E30" s="44"/>
      <c r="F30" s="44"/>
      <c r="G30" s="46">
        <f t="shared" ref="G30" si="19">SUM(D30:F30)</f>
        <v>0</v>
      </c>
      <c r="H30" s="43">
        <f>SUM(G30:G34)</f>
        <v>0</v>
      </c>
      <c r="I30" s="53"/>
      <c r="J30" s="53"/>
      <c r="K30" s="53"/>
      <c r="L30" s="53"/>
      <c r="M30" s="34">
        <f t="shared" ref="M30:O30" si="20">(100*D30)/$T$3</f>
        <v>0</v>
      </c>
      <c r="N30" s="34">
        <f t="shared" si="20"/>
        <v>0</v>
      </c>
      <c r="O30" s="34">
        <f t="shared" si="20"/>
        <v>0</v>
      </c>
      <c r="P30" s="34">
        <f t="shared" ref="P30" si="21">(H30*100)/$S$3</f>
        <v>0</v>
      </c>
      <c r="Q30" s="31"/>
      <c r="R30" s="108"/>
      <c r="S30" s="50"/>
      <c r="T30" s="108"/>
    </row>
    <row r="31" spans="1:20" ht="15" customHeight="1" thickBot="1" x14ac:dyDescent="0.35">
      <c r="A31" s="54"/>
      <c r="B31" s="10" t="s">
        <v>119</v>
      </c>
      <c r="C31" s="43"/>
      <c r="D31" s="45"/>
      <c r="E31" s="45"/>
      <c r="F31" s="45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31"/>
      <c r="R31" s="107"/>
      <c r="S31" s="50"/>
      <c r="T31" s="107"/>
    </row>
    <row r="32" spans="1:20" ht="15" customHeight="1" x14ac:dyDescent="0.3">
      <c r="A32" s="54"/>
      <c r="B32" s="11" t="s">
        <v>60</v>
      </c>
      <c r="C32" s="42" t="s">
        <v>25</v>
      </c>
      <c r="D32" s="44"/>
      <c r="E32" s="44"/>
      <c r="F32" s="44"/>
      <c r="G32" s="46">
        <f t="shared" ref="G32" si="22">SUM(D32:F32)</f>
        <v>0</v>
      </c>
      <c r="H32" s="53"/>
      <c r="I32" s="53"/>
      <c r="J32" s="53"/>
      <c r="K32" s="53"/>
      <c r="L32" s="53"/>
      <c r="M32" s="49"/>
      <c r="N32" s="49"/>
      <c r="O32" s="49"/>
      <c r="P32" s="49"/>
      <c r="Q32" s="31"/>
      <c r="R32" s="107"/>
      <c r="S32" s="51"/>
      <c r="T32" s="107"/>
    </row>
    <row r="33" spans="1:20" ht="15" customHeight="1" thickBot="1" x14ac:dyDescent="0.35">
      <c r="A33" s="54"/>
      <c r="B33" s="10" t="s">
        <v>119</v>
      </c>
      <c r="C33" s="43"/>
      <c r="D33" s="45"/>
      <c r="E33" s="45"/>
      <c r="F33" s="45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31"/>
      <c r="R33" s="107"/>
      <c r="S33" s="51"/>
      <c r="T33" s="107"/>
    </row>
    <row r="34" spans="1:20" ht="15" customHeight="1" x14ac:dyDescent="0.3">
      <c r="A34" s="54"/>
      <c r="B34" s="10" t="s">
        <v>119</v>
      </c>
      <c r="C34" s="42" t="s">
        <v>37</v>
      </c>
      <c r="D34" s="44"/>
      <c r="E34" s="44"/>
      <c r="F34" s="44"/>
      <c r="G34" s="46">
        <f t="shared" ref="G34" si="23">SUM(D34:F34)</f>
        <v>0</v>
      </c>
      <c r="H34" s="53"/>
      <c r="I34" s="53"/>
      <c r="J34" s="53"/>
      <c r="K34" s="53"/>
      <c r="L34" s="53"/>
      <c r="M34" s="49"/>
      <c r="N34" s="49"/>
      <c r="O34" s="49"/>
      <c r="P34" s="49"/>
      <c r="Q34" s="31"/>
      <c r="R34" s="107"/>
      <c r="S34" s="51"/>
      <c r="T34" s="107"/>
    </row>
    <row r="35" spans="1:20" ht="15" customHeight="1" thickBot="1" x14ac:dyDescent="0.35">
      <c r="A35" s="54"/>
      <c r="B35" s="10" t="s">
        <v>119</v>
      </c>
      <c r="C35" s="43"/>
      <c r="D35" s="45"/>
      <c r="E35" s="45"/>
      <c r="F35" s="45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31"/>
      <c r="R35" s="50"/>
      <c r="S35" s="51"/>
      <c r="T35" s="50"/>
    </row>
    <row r="36" spans="1:20" ht="15" customHeight="1" x14ac:dyDescent="0.3">
      <c r="A36" s="54">
        <v>6</v>
      </c>
      <c r="B36" s="10" t="s">
        <v>121</v>
      </c>
      <c r="C36" s="42" t="s">
        <v>27</v>
      </c>
      <c r="D36" s="44"/>
      <c r="E36" s="44"/>
      <c r="F36" s="44"/>
      <c r="G36" s="46">
        <f t="shared" ref="G36" si="24">SUM(D36:F36)</f>
        <v>0</v>
      </c>
      <c r="H36" s="43">
        <f>SUM(G36:G40)</f>
        <v>0</v>
      </c>
      <c r="I36" s="53"/>
      <c r="J36" s="53"/>
      <c r="K36" s="53"/>
      <c r="L36" s="53"/>
      <c r="M36" s="34">
        <f t="shared" ref="M36:O36" si="25">(100*D36)/$T$3</f>
        <v>0</v>
      </c>
      <c r="N36" s="34">
        <f t="shared" si="25"/>
        <v>0</v>
      </c>
      <c r="O36" s="34">
        <f t="shared" si="25"/>
        <v>0</v>
      </c>
      <c r="P36" s="34">
        <f t="shared" ref="P36" si="26">(H36*100)/$S$3</f>
        <v>0</v>
      </c>
      <c r="Q36" s="31"/>
      <c r="R36" s="50"/>
      <c r="S36" s="50"/>
      <c r="T36" s="106"/>
    </row>
    <row r="37" spans="1:20" ht="15" customHeight="1" thickBot="1" x14ac:dyDescent="0.35">
      <c r="A37" s="54"/>
      <c r="B37" s="10" t="s">
        <v>119</v>
      </c>
      <c r="C37" s="43"/>
      <c r="D37" s="45"/>
      <c r="E37" s="45"/>
      <c r="F37" s="45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31"/>
      <c r="R37" s="50"/>
      <c r="S37" s="50"/>
      <c r="T37" s="107"/>
    </row>
    <row r="38" spans="1:20" ht="15" customHeight="1" x14ac:dyDescent="0.3">
      <c r="A38" s="54"/>
      <c r="B38" s="11" t="s">
        <v>60</v>
      </c>
      <c r="C38" s="42"/>
      <c r="D38" s="44"/>
      <c r="E38" s="44"/>
      <c r="F38" s="44"/>
      <c r="G38" s="46">
        <f t="shared" ref="G38" si="27">SUM(D38:F38)</f>
        <v>0</v>
      </c>
      <c r="H38" s="43"/>
      <c r="I38" s="53"/>
      <c r="J38" s="53"/>
      <c r="K38" s="53"/>
      <c r="L38" s="53"/>
      <c r="M38" s="34"/>
      <c r="N38" s="34"/>
      <c r="O38" s="34"/>
      <c r="P38" s="34"/>
      <c r="Q38" s="31"/>
      <c r="R38" s="50"/>
      <c r="S38" s="50"/>
      <c r="T38" s="107"/>
    </row>
    <row r="39" spans="1:20" ht="15" customHeight="1" thickBot="1" x14ac:dyDescent="0.35">
      <c r="A39" s="54"/>
      <c r="B39" s="10" t="s">
        <v>119</v>
      </c>
      <c r="C39" s="43"/>
      <c r="D39" s="45"/>
      <c r="E39" s="45"/>
      <c r="F39" s="45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31"/>
      <c r="R39" s="51"/>
      <c r="S39" s="51"/>
      <c r="T39" s="107"/>
    </row>
    <row r="40" spans="1:20" ht="15" customHeight="1" x14ac:dyDescent="0.3">
      <c r="A40" s="54"/>
      <c r="B40" s="10" t="s">
        <v>119</v>
      </c>
      <c r="C40" s="42"/>
      <c r="D40" s="44"/>
      <c r="E40" s="44"/>
      <c r="F40" s="44"/>
      <c r="G40" s="46">
        <f t="shared" ref="G40" si="28"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31"/>
      <c r="R40" s="51"/>
      <c r="S40" s="51"/>
      <c r="T40" s="107"/>
    </row>
    <row r="41" spans="1:20" ht="15" customHeight="1" thickBot="1" x14ac:dyDescent="0.35">
      <c r="A41" s="54"/>
      <c r="B41" s="10" t="s">
        <v>119</v>
      </c>
      <c r="C41" s="43"/>
      <c r="D41" s="45"/>
      <c r="E41" s="45"/>
      <c r="F41" s="45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31"/>
      <c r="R41" s="51"/>
      <c r="S41" s="51"/>
      <c r="T41" s="50"/>
    </row>
    <row r="42" spans="1:20" ht="15" customHeight="1" x14ac:dyDescent="0.3">
      <c r="A42" s="54">
        <v>7</v>
      </c>
      <c r="B42" s="10" t="s">
        <v>121</v>
      </c>
      <c r="C42" s="42" t="s">
        <v>13</v>
      </c>
      <c r="D42" s="44"/>
      <c r="E42" s="44"/>
      <c r="F42" s="44"/>
      <c r="G42" s="46">
        <f t="shared" ref="G42" si="29">SUM(D42:F42)</f>
        <v>0</v>
      </c>
      <c r="H42" s="43">
        <f>SUM(G42:G46)</f>
        <v>0</v>
      </c>
      <c r="I42" s="53"/>
      <c r="J42" s="53"/>
      <c r="K42" s="53"/>
      <c r="L42" s="53"/>
      <c r="M42" s="34">
        <f t="shared" ref="M42:O42" si="30">(100*D42)/$T$3</f>
        <v>0</v>
      </c>
      <c r="N42" s="34">
        <f t="shared" si="30"/>
        <v>0</v>
      </c>
      <c r="O42" s="34">
        <f t="shared" si="30"/>
        <v>0</v>
      </c>
      <c r="P42" s="34">
        <f>(H42*100)/$S$3</f>
        <v>0</v>
      </c>
      <c r="Q42" s="52"/>
      <c r="R42" s="50"/>
      <c r="S42" s="50"/>
      <c r="T42" s="106"/>
    </row>
    <row r="43" spans="1:20" ht="15" customHeight="1" thickBot="1" x14ac:dyDescent="0.35">
      <c r="A43" s="54"/>
      <c r="B43" s="10" t="s">
        <v>119</v>
      </c>
      <c r="C43" s="43"/>
      <c r="D43" s="45"/>
      <c r="E43" s="45"/>
      <c r="F43" s="45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52"/>
      <c r="R43" s="50"/>
      <c r="S43" s="50"/>
      <c r="T43" s="107"/>
    </row>
    <row r="44" spans="1:20" ht="15" customHeight="1" x14ac:dyDescent="0.3">
      <c r="A44" s="54"/>
      <c r="B44" s="11" t="s">
        <v>60</v>
      </c>
      <c r="C44" s="42"/>
      <c r="D44" s="44"/>
      <c r="E44" s="44"/>
      <c r="F44" s="44"/>
      <c r="G44" s="46">
        <f t="shared" ref="G44" si="31"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31"/>
      <c r="R44" s="51"/>
      <c r="S44" s="51"/>
      <c r="T44" s="107"/>
    </row>
    <row r="45" spans="1:20" ht="15" customHeight="1" thickBot="1" x14ac:dyDescent="0.35">
      <c r="A45" s="54"/>
      <c r="B45" s="10" t="s">
        <v>119</v>
      </c>
      <c r="C45" s="43"/>
      <c r="D45" s="45"/>
      <c r="E45" s="45"/>
      <c r="F45" s="45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31"/>
      <c r="R45" s="51"/>
      <c r="S45" s="51"/>
      <c r="T45" s="107"/>
    </row>
    <row r="46" spans="1:20" ht="15" customHeight="1" x14ac:dyDescent="0.3">
      <c r="A46" s="54"/>
      <c r="B46" s="10" t="s">
        <v>119</v>
      </c>
      <c r="C46" s="42"/>
      <c r="D46" s="44"/>
      <c r="E46" s="44"/>
      <c r="F46" s="44"/>
      <c r="G46" s="46">
        <f t="shared" ref="G46" si="32"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52"/>
      <c r="R46" s="51"/>
      <c r="S46" s="51"/>
      <c r="T46" s="107"/>
    </row>
    <row r="47" spans="1:20" ht="15" customHeight="1" thickBot="1" x14ac:dyDescent="0.35">
      <c r="A47" s="54"/>
      <c r="B47" s="10" t="s">
        <v>119</v>
      </c>
      <c r="C47" s="47"/>
      <c r="D47" s="48"/>
      <c r="E47" s="48"/>
      <c r="F47" s="48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52"/>
      <c r="R47" s="51"/>
      <c r="S47" s="51"/>
      <c r="T47" s="50"/>
    </row>
    <row r="48" spans="1:20" ht="15" thickBot="1" x14ac:dyDescent="0.35">
      <c r="C48" s="35" t="s">
        <v>23</v>
      </c>
      <c r="D48" s="37">
        <f>SUM(D6:D47)</f>
        <v>309059</v>
      </c>
      <c r="E48" s="37">
        <f>SUM(E6:E47)</f>
        <v>299655</v>
      </c>
      <c r="F48" s="37">
        <f>SUM(F6:F47)</f>
        <v>0</v>
      </c>
      <c r="G48" s="37">
        <f>SUM(G6:G46)</f>
        <v>608714</v>
      </c>
      <c r="H48" s="37">
        <f>SUM(H6:H47)</f>
        <v>608714</v>
      </c>
    </row>
    <row r="49" spans="3:17" ht="15" thickBot="1" x14ac:dyDescent="0.35">
      <c r="C49" s="36"/>
      <c r="D49" s="38"/>
      <c r="E49" s="38"/>
      <c r="F49" s="38"/>
      <c r="G49" s="38"/>
      <c r="H49" s="38"/>
      <c r="J49" s="18" t="s">
        <v>61</v>
      </c>
      <c r="K49" s="18" t="s">
        <v>62</v>
      </c>
      <c r="L49" s="27" t="s">
        <v>63</v>
      </c>
      <c r="M49" s="28"/>
      <c r="N49" s="18" t="s">
        <v>62</v>
      </c>
      <c r="O49" s="18" t="s">
        <v>64</v>
      </c>
      <c r="P49" s="18" t="s">
        <v>62</v>
      </c>
      <c r="Q49" s="22"/>
    </row>
    <row r="50" spans="3:17" x14ac:dyDescent="0.3">
      <c r="J50" s="19">
        <v>5</v>
      </c>
      <c r="K50" s="19" t="s">
        <v>74</v>
      </c>
      <c r="L50" s="29">
        <v>5</v>
      </c>
      <c r="M50" s="30"/>
      <c r="N50" s="19" t="s">
        <v>74</v>
      </c>
      <c r="O50" s="19">
        <v>1</v>
      </c>
      <c r="P50" s="19" t="s">
        <v>74</v>
      </c>
      <c r="Q50" s="23"/>
    </row>
    <row r="51" spans="3:17" x14ac:dyDescent="0.3">
      <c r="J51" s="19">
        <v>6</v>
      </c>
      <c r="K51" s="19" t="s">
        <v>74</v>
      </c>
      <c r="L51" s="29">
        <v>6</v>
      </c>
      <c r="M51" s="30"/>
      <c r="N51" s="19" t="s">
        <v>74</v>
      </c>
      <c r="O51" s="19">
        <v>2</v>
      </c>
      <c r="P51" s="19" t="s">
        <v>74</v>
      </c>
      <c r="Q51" s="23"/>
    </row>
    <row r="52" spans="3:17" x14ac:dyDescent="0.3">
      <c r="J52" s="19">
        <v>7</v>
      </c>
      <c r="K52" s="19" t="s">
        <v>74</v>
      </c>
      <c r="L52" s="29">
        <v>7</v>
      </c>
      <c r="M52" s="30"/>
      <c r="N52" s="19" t="s">
        <v>74</v>
      </c>
      <c r="O52" s="19">
        <v>3</v>
      </c>
      <c r="P52" s="19" t="s">
        <v>74</v>
      </c>
      <c r="Q52" s="24"/>
    </row>
    <row r="53" spans="3:17" x14ac:dyDescent="0.3">
      <c r="J53" s="19"/>
      <c r="K53" s="19"/>
      <c r="L53" s="29"/>
      <c r="M53" s="30"/>
      <c r="N53" s="19"/>
      <c r="O53" s="19">
        <v>4</v>
      </c>
      <c r="P53" s="19" t="s">
        <v>74</v>
      </c>
      <c r="Q53" s="24"/>
    </row>
    <row r="54" spans="3:17" x14ac:dyDescent="0.3">
      <c r="J54" s="19"/>
      <c r="K54" s="19"/>
      <c r="L54" s="29"/>
      <c r="M54" s="30"/>
      <c r="N54" s="19"/>
      <c r="O54" s="19">
        <v>5</v>
      </c>
      <c r="P54" s="19" t="s">
        <v>74</v>
      </c>
      <c r="Q54" s="25"/>
    </row>
    <row r="55" spans="3:17" x14ac:dyDescent="0.3">
      <c r="J55" s="19"/>
      <c r="K55" s="19"/>
      <c r="L55" s="29"/>
      <c r="M55" s="30"/>
      <c r="N55" s="19"/>
      <c r="O55" s="19">
        <v>6</v>
      </c>
      <c r="P55" s="19" t="s">
        <v>74</v>
      </c>
    </row>
    <row r="56" spans="3:17" x14ac:dyDescent="0.3">
      <c r="J56" s="19"/>
      <c r="K56" s="19"/>
      <c r="L56" s="29"/>
      <c r="M56" s="30"/>
      <c r="N56" s="19"/>
      <c r="O56" s="19">
        <v>7</v>
      </c>
      <c r="P56" s="19" t="s">
        <v>74</v>
      </c>
    </row>
  </sheetData>
  <mergeCells count="245">
    <mergeCell ref="L54:M54"/>
    <mergeCell ref="L55:M55"/>
    <mergeCell ref="L56:M56"/>
    <mergeCell ref="L52:M52"/>
    <mergeCell ref="L51:M51"/>
    <mergeCell ref="L50:M50"/>
    <mergeCell ref="G34:G35"/>
    <mergeCell ref="F34:F35"/>
    <mergeCell ref="E34:E35"/>
    <mergeCell ref="L53:M53"/>
    <mergeCell ref="D34:D35"/>
    <mergeCell ref="C34:C35"/>
    <mergeCell ref="C40:C41"/>
    <mergeCell ref="G42:G43"/>
    <mergeCell ref="F42:F43"/>
    <mergeCell ref="E42:E43"/>
    <mergeCell ref="D42:D43"/>
    <mergeCell ref="C42:C43"/>
    <mergeCell ref="G30:G31"/>
    <mergeCell ref="F30:F31"/>
    <mergeCell ref="E30:E31"/>
    <mergeCell ref="D30:D31"/>
    <mergeCell ref="C30:C31"/>
    <mergeCell ref="G32:G33"/>
    <mergeCell ref="F32:F33"/>
    <mergeCell ref="E32:E33"/>
    <mergeCell ref="D32:D33"/>
    <mergeCell ref="C32:C33"/>
    <mergeCell ref="A24:A29"/>
    <mergeCell ref="G28:G29"/>
    <mergeCell ref="F28:F29"/>
    <mergeCell ref="E28:E29"/>
    <mergeCell ref="D28:D29"/>
    <mergeCell ref="C28:C29"/>
    <mergeCell ref="G24:G25"/>
    <mergeCell ref="F24:F25"/>
    <mergeCell ref="E24:E25"/>
    <mergeCell ref="D24:D25"/>
    <mergeCell ref="C24:C25"/>
    <mergeCell ref="G26:G27"/>
    <mergeCell ref="F26:F27"/>
    <mergeCell ref="E26:E27"/>
    <mergeCell ref="D26:D27"/>
    <mergeCell ref="C26:C27"/>
    <mergeCell ref="A18:A23"/>
    <mergeCell ref="L18:L23"/>
    <mergeCell ref="T18:T23"/>
    <mergeCell ref="S18:S23"/>
    <mergeCell ref="R18:R23"/>
    <mergeCell ref="P18:P23"/>
    <mergeCell ref="O18:O23"/>
    <mergeCell ref="N18:N23"/>
    <mergeCell ref="M18:M23"/>
    <mergeCell ref="E20:E21"/>
    <mergeCell ref="D20:D21"/>
    <mergeCell ref="C20:C21"/>
    <mergeCell ref="G22:G23"/>
    <mergeCell ref="F22:F23"/>
    <mergeCell ref="E22:E23"/>
    <mergeCell ref="D22:D23"/>
    <mergeCell ref="C22:C23"/>
    <mergeCell ref="C18:C19"/>
    <mergeCell ref="G18:G19"/>
    <mergeCell ref="F18:F19"/>
    <mergeCell ref="E18:E19"/>
    <mergeCell ref="D18:D19"/>
    <mergeCell ref="G20:G21"/>
    <mergeCell ref="F20:F21"/>
    <mergeCell ref="T6:T11"/>
    <mergeCell ref="C12:C13"/>
    <mergeCell ref="D12:D13"/>
    <mergeCell ref="E12:E13"/>
    <mergeCell ref="F12:F13"/>
    <mergeCell ref="G12:G13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R12:R17"/>
    <mergeCell ref="S12:S17"/>
    <mergeCell ref="T12:T17"/>
    <mergeCell ref="C14:C15"/>
    <mergeCell ref="D14:D15"/>
    <mergeCell ref="E14:E15"/>
    <mergeCell ref="G14:G15"/>
    <mergeCell ref="G8:G9"/>
    <mergeCell ref="L6:L11"/>
    <mergeCell ref="L24:L29"/>
    <mergeCell ref="F14:F15"/>
    <mergeCell ref="A6:A11"/>
    <mergeCell ref="C10:C11"/>
    <mergeCell ref="D10:D11"/>
    <mergeCell ref="E10:E11"/>
    <mergeCell ref="F10:F11"/>
    <mergeCell ref="G10:G11"/>
    <mergeCell ref="H6:H11"/>
    <mergeCell ref="I6:I11"/>
    <mergeCell ref="A12:A17"/>
    <mergeCell ref="C16:C17"/>
    <mergeCell ref="D16:D17"/>
    <mergeCell ref="E16:E17"/>
    <mergeCell ref="F16:F17"/>
    <mergeCell ref="G16:G17"/>
    <mergeCell ref="C6:C7"/>
    <mergeCell ref="D6:D7"/>
    <mergeCell ref="E6:E7"/>
    <mergeCell ref="F6:F7"/>
    <mergeCell ref="G6:G7"/>
    <mergeCell ref="C8:C9"/>
    <mergeCell ref="D8:D9"/>
    <mergeCell ref="E8:E9"/>
    <mergeCell ref="H24:H29"/>
    <mergeCell ref="I24:I29"/>
    <mergeCell ref="J24:J29"/>
    <mergeCell ref="J6:J11"/>
    <mergeCell ref="K18:K23"/>
    <mergeCell ref="J18:J23"/>
    <mergeCell ref="I18:I23"/>
    <mergeCell ref="H18:H23"/>
    <mergeCell ref="K24:K29"/>
    <mergeCell ref="K6:K11"/>
    <mergeCell ref="S1:T1"/>
    <mergeCell ref="A4:A5"/>
    <mergeCell ref="B4:B5"/>
    <mergeCell ref="C4:C5"/>
    <mergeCell ref="D4:F4"/>
    <mergeCell ref="G4:G5"/>
    <mergeCell ref="H4:H5"/>
    <mergeCell ref="I4:K4"/>
    <mergeCell ref="A1:C3"/>
    <mergeCell ref="D1:R3"/>
    <mergeCell ref="L4:L5"/>
    <mergeCell ref="M4:P4"/>
    <mergeCell ref="R4:T4"/>
    <mergeCell ref="Q4:Q5"/>
    <mergeCell ref="M6:M11"/>
    <mergeCell ref="N6:N11"/>
    <mergeCell ref="O6:O11"/>
    <mergeCell ref="P6:P11"/>
    <mergeCell ref="F8:F9"/>
    <mergeCell ref="R6:R11"/>
    <mergeCell ref="S6:S11"/>
    <mergeCell ref="T24:T29"/>
    <mergeCell ref="M24:M29"/>
    <mergeCell ref="N24:N29"/>
    <mergeCell ref="O24:O29"/>
    <mergeCell ref="P24:P29"/>
    <mergeCell ref="R24:R29"/>
    <mergeCell ref="S24:S29"/>
    <mergeCell ref="Q24:Q25"/>
    <mergeCell ref="Q26:Q27"/>
    <mergeCell ref="Q28:Q29"/>
    <mergeCell ref="Q10:Q11"/>
    <mergeCell ref="Q8:Q9"/>
    <mergeCell ref="Q6:Q7"/>
    <mergeCell ref="Q12:Q13"/>
    <mergeCell ref="Q14:Q15"/>
    <mergeCell ref="Q16:Q17"/>
    <mergeCell ref="Q18:Q19"/>
    <mergeCell ref="P30:P35"/>
    <mergeCell ref="R30:R35"/>
    <mergeCell ref="S30:S35"/>
    <mergeCell ref="T30:T35"/>
    <mergeCell ref="A36:A41"/>
    <mergeCell ref="H36:H41"/>
    <mergeCell ref="I36:I41"/>
    <mergeCell ref="J36:J41"/>
    <mergeCell ref="K36:K41"/>
    <mergeCell ref="L36:L41"/>
    <mergeCell ref="A30:A35"/>
    <mergeCell ref="H30:H35"/>
    <mergeCell ref="I30:I35"/>
    <mergeCell ref="J30:J35"/>
    <mergeCell ref="K30:K35"/>
    <mergeCell ref="L30:L35"/>
    <mergeCell ref="M30:M35"/>
    <mergeCell ref="N30:N35"/>
    <mergeCell ref="O30:O35"/>
    <mergeCell ref="T36:T41"/>
    <mergeCell ref="M36:M41"/>
    <mergeCell ref="N36:N41"/>
    <mergeCell ref="O36:O41"/>
    <mergeCell ref="P36:P41"/>
    <mergeCell ref="P42:P47"/>
    <mergeCell ref="R42:R47"/>
    <mergeCell ref="S42:S47"/>
    <mergeCell ref="A42:A47"/>
    <mergeCell ref="H42:H47"/>
    <mergeCell ref="I42:I47"/>
    <mergeCell ref="J42:J47"/>
    <mergeCell ref="K42:K47"/>
    <mergeCell ref="L42:L47"/>
    <mergeCell ref="M42:M47"/>
    <mergeCell ref="N42:N47"/>
    <mergeCell ref="O42:O47"/>
    <mergeCell ref="G46:G47"/>
    <mergeCell ref="F46:F47"/>
    <mergeCell ref="E46:E47"/>
    <mergeCell ref="D46:D47"/>
    <mergeCell ref="C46:C47"/>
    <mergeCell ref="G44:G45"/>
    <mergeCell ref="F44:F45"/>
    <mergeCell ref="E44:E45"/>
    <mergeCell ref="D44:D45"/>
    <mergeCell ref="C44:C45"/>
    <mergeCell ref="Q44:Q45"/>
    <mergeCell ref="Q46:Q47"/>
    <mergeCell ref="T42:T47"/>
    <mergeCell ref="C48:C49"/>
    <mergeCell ref="D48:D49"/>
    <mergeCell ref="E48:E49"/>
    <mergeCell ref="F48:F49"/>
    <mergeCell ref="G48:G49"/>
    <mergeCell ref="H48:H49"/>
    <mergeCell ref="L49:M49"/>
    <mergeCell ref="R36:R41"/>
    <mergeCell ref="S36:S41"/>
    <mergeCell ref="G36:G37"/>
    <mergeCell ref="F36:F37"/>
    <mergeCell ref="E36:E37"/>
    <mergeCell ref="D36:D37"/>
    <mergeCell ref="C36:C37"/>
    <mergeCell ref="G38:G39"/>
    <mergeCell ref="F38:F39"/>
    <mergeCell ref="E38:E39"/>
    <mergeCell ref="D38:D39"/>
    <mergeCell ref="C38:C39"/>
    <mergeCell ref="G40:G41"/>
    <mergeCell ref="F40:F41"/>
    <mergeCell ref="E40:E41"/>
    <mergeCell ref="D40:D41"/>
    <mergeCell ref="Q20:Q21"/>
    <mergeCell ref="Q22:Q23"/>
    <mergeCell ref="Q30:Q31"/>
    <mergeCell ref="Q32:Q33"/>
    <mergeCell ref="Q34:Q35"/>
    <mergeCell ref="Q36:Q37"/>
    <mergeCell ref="Q38:Q39"/>
    <mergeCell ref="Q40:Q41"/>
    <mergeCell ref="Q42:Q43"/>
  </mergeCells>
  <pageMargins left="3.937007874015748E-2" right="3.937007874015748E-2" top="3.937007874015748E-2" bottom="3.937007874015748E-2" header="0.31496062992125984" footer="0.31496062992125984"/>
  <pageSetup paperSize="8" scale="94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145B-D579-49A4-9F0B-0A374BEB52CB}">
  <sheetPr>
    <pageSetUpPr fitToPage="1"/>
  </sheetPr>
  <dimension ref="A1:T64"/>
  <sheetViews>
    <sheetView zoomScale="85" zoomScaleNormal="85" workbookViewId="0">
      <selection activeCell="B9" sqref="B9"/>
    </sheetView>
  </sheetViews>
  <sheetFormatPr defaultRowHeight="14.4" x14ac:dyDescent="0.3"/>
  <cols>
    <col min="1" max="1" width="7.88671875" customWidth="1"/>
    <col min="2" max="2" width="12.886718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7" width="12.88671875" customWidth="1"/>
    <col min="18" max="20" width="20.77734375" customWidth="1"/>
  </cols>
  <sheetData>
    <row r="1" spans="1:20" ht="15" customHeight="1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2"/>
      <c r="S1" s="89" t="s">
        <v>80</v>
      </c>
      <c r="T1" s="90"/>
    </row>
    <row r="2" spans="1:20" ht="15" customHeight="1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5"/>
      <c r="S2" s="7" t="s">
        <v>19</v>
      </c>
      <c r="T2" s="7" t="s">
        <v>20</v>
      </c>
    </row>
    <row r="3" spans="1:20" ht="15" customHeight="1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8"/>
      <c r="S3" s="8">
        <v>270000</v>
      </c>
      <c r="T3" s="6">
        <v>90000</v>
      </c>
    </row>
    <row r="4" spans="1:20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1" t="s">
        <v>75</v>
      </c>
      <c r="R4" s="66" t="s">
        <v>11</v>
      </c>
      <c r="S4" s="67"/>
      <c r="T4" s="68"/>
    </row>
    <row r="5" spans="1:20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21" t="s">
        <v>10</v>
      </c>
      <c r="Q5" s="65"/>
      <c r="R5" s="1" t="s">
        <v>4</v>
      </c>
      <c r="S5" s="2" t="s">
        <v>5</v>
      </c>
      <c r="T5" s="3" t="s">
        <v>6</v>
      </c>
    </row>
    <row r="6" spans="1:20" ht="15" customHeight="1" x14ac:dyDescent="0.3">
      <c r="A6" s="69">
        <v>1</v>
      </c>
      <c r="B6" s="11" t="s">
        <v>77</v>
      </c>
      <c r="C6" s="46" t="s">
        <v>12</v>
      </c>
      <c r="D6" s="70">
        <v>82480</v>
      </c>
      <c r="E6" s="70">
        <v>83104</v>
      </c>
      <c r="F6" s="70">
        <v>84052</v>
      </c>
      <c r="G6" s="46">
        <f>SUM(D6:F6)</f>
        <v>249636</v>
      </c>
      <c r="H6" s="46">
        <f>SUM(G6:G10)</f>
        <v>249636</v>
      </c>
      <c r="I6" s="46">
        <v>435</v>
      </c>
      <c r="J6" s="46">
        <v>438</v>
      </c>
      <c r="K6" s="46">
        <v>443</v>
      </c>
      <c r="L6" s="46"/>
      <c r="M6" s="60">
        <f>(100*D6)/$T$3</f>
        <v>91.644444444444446</v>
      </c>
      <c r="N6" s="60">
        <f t="shared" ref="N6:O6" si="0">(100*E6)/$T$3</f>
        <v>92.337777777777774</v>
      </c>
      <c r="O6" s="60">
        <f t="shared" si="0"/>
        <v>93.391111111111115</v>
      </c>
      <c r="P6" s="60">
        <f>(H6*100)/$S$3</f>
        <v>92.457777777777778</v>
      </c>
      <c r="Q6" s="31" t="s">
        <v>107</v>
      </c>
      <c r="R6" s="39" t="s">
        <v>91</v>
      </c>
      <c r="S6" s="39" t="s">
        <v>90</v>
      </c>
      <c r="T6" s="39" t="s">
        <v>90</v>
      </c>
    </row>
    <row r="7" spans="1:20" ht="15" customHeight="1" thickBot="1" x14ac:dyDescent="0.35">
      <c r="A7" s="58"/>
      <c r="B7" s="11" t="s">
        <v>78</v>
      </c>
      <c r="C7" s="43"/>
      <c r="D7" s="45"/>
      <c r="E7" s="45"/>
      <c r="F7" s="45"/>
      <c r="G7" s="43"/>
      <c r="H7" s="56"/>
      <c r="I7" s="56"/>
      <c r="J7" s="56"/>
      <c r="K7" s="56"/>
      <c r="L7" s="56"/>
      <c r="M7" s="33"/>
      <c r="N7" s="33"/>
      <c r="O7" s="33"/>
      <c r="P7" s="33"/>
      <c r="Q7" s="31"/>
      <c r="R7" s="40"/>
      <c r="S7" s="40"/>
      <c r="T7" s="40"/>
    </row>
    <row r="8" spans="1:20" ht="15" customHeight="1" x14ac:dyDescent="0.3">
      <c r="A8" s="58"/>
      <c r="B8" s="11" t="s">
        <v>76</v>
      </c>
      <c r="C8" s="42"/>
      <c r="D8" s="44"/>
      <c r="E8" s="44"/>
      <c r="F8" s="44"/>
      <c r="G8" s="46">
        <f t="shared" ref="G8" si="1">SUM(D8:F8)</f>
        <v>0</v>
      </c>
      <c r="H8" s="56"/>
      <c r="I8" s="56"/>
      <c r="J8" s="56"/>
      <c r="K8" s="56"/>
      <c r="L8" s="56"/>
      <c r="M8" s="33"/>
      <c r="N8" s="33"/>
      <c r="O8" s="33"/>
      <c r="P8" s="33"/>
      <c r="Q8" s="31" t="s">
        <v>106</v>
      </c>
      <c r="R8" s="40"/>
      <c r="S8" s="40"/>
      <c r="T8" s="40"/>
    </row>
    <row r="9" spans="1:20" ht="15" thickBot="1" x14ac:dyDescent="0.35">
      <c r="A9" s="58"/>
      <c r="B9" s="11" t="s">
        <v>120</v>
      </c>
      <c r="C9" s="43"/>
      <c r="D9" s="45"/>
      <c r="E9" s="45"/>
      <c r="F9" s="45"/>
      <c r="G9" s="43"/>
      <c r="H9" s="56"/>
      <c r="I9" s="56"/>
      <c r="J9" s="56"/>
      <c r="K9" s="56"/>
      <c r="L9" s="56"/>
      <c r="M9" s="33"/>
      <c r="N9" s="33"/>
      <c r="O9" s="33"/>
      <c r="P9" s="33"/>
      <c r="Q9" s="31"/>
      <c r="R9" s="40"/>
      <c r="S9" s="40"/>
      <c r="T9" s="40"/>
    </row>
    <row r="10" spans="1:20" ht="15" customHeight="1" x14ac:dyDescent="0.3">
      <c r="A10" s="58"/>
      <c r="B10" s="10" t="s">
        <v>121</v>
      </c>
      <c r="C10" s="42"/>
      <c r="D10" s="44"/>
      <c r="E10" s="44"/>
      <c r="F10" s="44"/>
      <c r="G10" s="46">
        <f t="shared" ref="G10" si="2">SUM(D10:F10)</f>
        <v>0</v>
      </c>
      <c r="H10" s="56"/>
      <c r="I10" s="56"/>
      <c r="J10" s="56"/>
      <c r="K10" s="56"/>
      <c r="L10" s="56"/>
      <c r="M10" s="33"/>
      <c r="N10" s="33"/>
      <c r="O10" s="33"/>
      <c r="P10" s="33"/>
      <c r="Q10" s="31" t="s">
        <v>86</v>
      </c>
      <c r="R10" s="40"/>
      <c r="S10" s="40"/>
      <c r="T10" s="40"/>
    </row>
    <row r="11" spans="1:20" ht="15" customHeight="1" thickBot="1" x14ac:dyDescent="0.35">
      <c r="A11" s="59"/>
      <c r="B11" s="10" t="s">
        <v>122</v>
      </c>
      <c r="C11" s="43"/>
      <c r="D11" s="45"/>
      <c r="E11" s="45"/>
      <c r="F11" s="45"/>
      <c r="G11" s="43"/>
      <c r="H11" s="43"/>
      <c r="I11" s="43"/>
      <c r="J11" s="43"/>
      <c r="K11" s="43"/>
      <c r="L11" s="43"/>
      <c r="M11" s="34"/>
      <c r="N11" s="34"/>
      <c r="O11" s="34"/>
      <c r="P11" s="34"/>
      <c r="Q11" s="31"/>
      <c r="R11" s="41"/>
      <c r="S11" s="41"/>
      <c r="T11" s="41"/>
    </row>
    <row r="12" spans="1:20" ht="15" customHeight="1" x14ac:dyDescent="0.3">
      <c r="A12" s="57">
        <v>2</v>
      </c>
      <c r="B12" s="11" t="s">
        <v>77</v>
      </c>
      <c r="C12" s="42" t="s">
        <v>12</v>
      </c>
      <c r="D12" s="44">
        <v>80449</v>
      </c>
      <c r="E12" s="44">
        <v>84258</v>
      </c>
      <c r="F12" s="44">
        <v>83034</v>
      </c>
      <c r="G12" s="46">
        <f t="shared" ref="G12" si="3">SUM(D12:F12)</f>
        <v>247741</v>
      </c>
      <c r="H12" s="42">
        <f t="shared" ref="H12" si="4">SUM(G12:G16)</f>
        <v>247741</v>
      </c>
      <c r="I12" s="42">
        <v>430</v>
      </c>
      <c r="J12" s="42">
        <v>450</v>
      </c>
      <c r="K12" s="42">
        <v>443</v>
      </c>
      <c r="L12" s="42"/>
      <c r="M12" s="32">
        <f>(100*D12)/$T$3</f>
        <v>89.387777777777771</v>
      </c>
      <c r="N12" s="32">
        <f t="shared" ref="N12:O12" si="5">(100*E12)/$T$3</f>
        <v>93.62</v>
      </c>
      <c r="O12" s="32">
        <f t="shared" si="5"/>
        <v>92.26</v>
      </c>
      <c r="P12" s="32">
        <f>(H12*100)/$S$3</f>
        <v>91.755925925925922</v>
      </c>
      <c r="Q12" s="31" t="s">
        <v>105</v>
      </c>
      <c r="R12" s="39" t="s">
        <v>91</v>
      </c>
      <c r="S12" s="39" t="s">
        <v>90</v>
      </c>
      <c r="T12" s="39" t="s">
        <v>90</v>
      </c>
    </row>
    <row r="13" spans="1:20" ht="15" customHeight="1" thickBot="1" x14ac:dyDescent="0.35">
      <c r="A13" s="58"/>
      <c r="B13" s="11" t="s">
        <v>78</v>
      </c>
      <c r="C13" s="43"/>
      <c r="D13" s="45"/>
      <c r="E13" s="45"/>
      <c r="F13" s="45"/>
      <c r="G13" s="43"/>
      <c r="H13" s="56"/>
      <c r="I13" s="56"/>
      <c r="J13" s="56"/>
      <c r="K13" s="56"/>
      <c r="L13" s="56"/>
      <c r="M13" s="33"/>
      <c r="N13" s="33"/>
      <c r="O13" s="33"/>
      <c r="P13" s="33"/>
      <c r="Q13" s="31"/>
      <c r="R13" s="40"/>
      <c r="S13" s="40"/>
      <c r="T13" s="40"/>
    </row>
    <row r="14" spans="1:20" ht="15" customHeight="1" x14ac:dyDescent="0.3">
      <c r="A14" s="58"/>
      <c r="B14" s="11" t="s">
        <v>76</v>
      </c>
      <c r="C14" s="42"/>
      <c r="D14" s="44"/>
      <c r="E14" s="44"/>
      <c r="F14" s="44"/>
      <c r="G14" s="46">
        <f t="shared" ref="G14" si="6">SUM(D14:F14)</f>
        <v>0</v>
      </c>
      <c r="H14" s="56"/>
      <c r="I14" s="56"/>
      <c r="J14" s="56"/>
      <c r="K14" s="56"/>
      <c r="L14" s="56"/>
      <c r="M14" s="33"/>
      <c r="N14" s="33"/>
      <c r="O14" s="33"/>
      <c r="P14" s="33"/>
      <c r="Q14" s="31" t="s">
        <v>104</v>
      </c>
      <c r="R14" s="40"/>
      <c r="S14" s="40"/>
      <c r="T14" s="40"/>
    </row>
    <row r="15" spans="1:20" ht="15" customHeight="1" thickBot="1" x14ac:dyDescent="0.35">
      <c r="A15" s="58"/>
      <c r="B15" s="11" t="s">
        <v>120</v>
      </c>
      <c r="C15" s="43"/>
      <c r="D15" s="45"/>
      <c r="E15" s="45"/>
      <c r="F15" s="45"/>
      <c r="G15" s="43"/>
      <c r="H15" s="56"/>
      <c r="I15" s="56"/>
      <c r="J15" s="56"/>
      <c r="K15" s="56"/>
      <c r="L15" s="56"/>
      <c r="M15" s="33"/>
      <c r="N15" s="33"/>
      <c r="O15" s="33"/>
      <c r="P15" s="33"/>
      <c r="Q15" s="31"/>
      <c r="R15" s="40"/>
      <c r="S15" s="40"/>
      <c r="T15" s="40"/>
    </row>
    <row r="16" spans="1:20" ht="15" customHeight="1" x14ac:dyDescent="0.3">
      <c r="A16" s="58"/>
      <c r="B16" s="10" t="s">
        <v>121</v>
      </c>
      <c r="C16" s="42"/>
      <c r="D16" s="44"/>
      <c r="E16" s="44"/>
      <c r="F16" s="44"/>
      <c r="G16" s="46">
        <f t="shared" ref="G16" si="7">SUM(D16:F16)</f>
        <v>0</v>
      </c>
      <c r="H16" s="56"/>
      <c r="I16" s="56"/>
      <c r="J16" s="56"/>
      <c r="K16" s="56"/>
      <c r="L16" s="56"/>
      <c r="M16" s="33"/>
      <c r="N16" s="33"/>
      <c r="O16" s="33"/>
      <c r="P16" s="33"/>
      <c r="Q16" s="31" t="s">
        <v>85</v>
      </c>
      <c r="R16" s="40"/>
      <c r="S16" s="40"/>
      <c r="T16" s="40"/>
    </row>
    <row r="17" spans="1:20" ht="15" customHeight="1" thickBot="1" x14ac:dyDescent="0.35">
      <c r="A17" s="59"/>
      <c r="B17" s="10" t="s">
        <v>122</v>
      </c>
      <c r="C17" s="43"/>
      <c r="D17" s="45"/>
      <c r="E17" s="45"/>
      <c r="F17" s="45"/>
      <c r="G17" s="43"/>
      <c r="H17" s="43"/>
      <c r="I17" s="43"/>
      <c r="J17" s="43"/>
      <c r="K17" s="43"/>
      <c r="L17" s="43"/>
      <c r="M17" s="34"/>
      <c r="N17" s="34"/>
      <c r="O17" s="34"/>
      <c r="P17" s="34"/>
      <c r="Q17" s="31"/>
      <c r="R17" s="41"/>
      <c r="S17" s="41"/>
      <c r="T17" s="41"/>
    </row>
    <row r="18" spans="1:20" ht="15" customHeight="1" x14ac:dyDescent="0.3">
      <c r="A18" s="57">
        <v>3</v>
      </c>
      <c r="B18" s="11" t="s">
        <v>77</v>
      </c>
      <c r="C18" s="42" t="s">
        <v>12</v>
      </c>
      <c r="D18" s="44">
        <v>77344</v>
      </c>
      <c r="E18" s="44">
        <v>65631</v>
      </c>
      <c r="F18" s="44">
        <v>80302</v>
      </c>
      <c r="G18" s="46">
        <f t="shared" ref="G18" si="8">SUM(D18:F18)</f>
        <v>223277</v>
      </c>
      <c r="H18" s="42">
        <f t="shared" ref="H18" si="9">SUM(G18:G22)</f>
        <v>223277</v>
      </c>
      <c r="I18" s="42"/>
      <c r="J18" s="42"/>
      <c r="K18" s="42"/>
      <c r="L18" s="42"/>
      <c r="M18" s="32">
        <f t="shared" ref="M18:O18" si="10">(100*D18)/$T$3</f>
        <v>85.937777777777782</v>
      </c>
      <c r="N18" s="32">
        <f t="shared" si="10"/>
        <v>72.923333333333332</v>
      </c>
      <c r="O18" s="32">
        <f t="shared" si="10"/>
        <v>89.224444444444444</v>
      </c>
      <c r="P18" s="32">
        <f t="shared" ref="P18" si="11">(H18*100)/$S$3</f>
        <v>82.695185185185181</v>
      </c>
      <c r="Q18" s="31" t="s">
        <v>103</v>
      </c>
      <c r="R18" s="39" t="s">
        <v>91</v>
      </c>
      <c r="S18" s="55" t="s">
        <v>87</v>
      </c>
      <c r="T18" s="39" t="s">
        <v>90</v>
      </c>
    </row>
    <row r="19" spans="1:20" ht="15" customHeight="1" thickBot="1" x14ac:dyDescent="0.35">
      <c r="A19" s="58"/>
      <c r="B19" s="11" t="s">
        <v>78</v>
      </c>
      <c r="C19" s="43"/>
      <c r="D19" s="45"/>
      <c r="E19" s="45"/>
      <c r="F19" s="45"/>
      <c r="G19" s="43"/>
      <c r="H19" s="56"/>
      <c r="I19" s="56"/>
      <c r="J19" s="56"/>
      <c r="K19" s="56"/>
      <c r="L19" s="56"/>
      <c r="M19" s="33"/>
      <c r="N19" s="33"/>
      <c r="O19" s="33"/>
      <c r="P19" s="33"/>
      <c r="Q19" s="31"/>
      <c r="R19" s="40"/>
      <c r="S19" s="40"/>
      <c r="T19" s="40"/>
    </row>
    <row r="20" spans="1:20" ht="15" customHeight="1" x14ac:dyDescent="0.3">
      <c r="A20" s="58"/>
      <c r="B20" s="11" t="s">
        <v>76</v>
      </c>
      <c r="C20" s="42"/>
      <c r="D20" s="44"/>
      <c r="E20" s="44"/>
      <c r="F20" s="44"/>
      <c r="G20" s="46">
        <f t="shared" ref="G20" si="12">SUM(D20:F20)</f>
        <v>0</v>
      </c>
      <c r="H20" s="56"/>
      <c r="I20" s="56"/>
      <c r="J20" s="56"/>
      <c r="K20" s="56"/>
      <c r="L20" s="56"/>
      <c r="M20" s="33"/>
      <c r="N20" s="33"/>
      <c r="O20" s="33"/>
      <c r="P20" s="33"/>
      <c r="Q20" s="31" t="s">
        <v>101</v>
      </c>
      <c r="R20" s="40"/>
      <c r="S20" s="40"/>
      <c r="T20" s="40"/>
    </row>
    <row r="21" spans="1:20" ht="15" customHeight="1" thickBot="1" x14ac:dyDescent="0.35">
      <c r="A21" s="58"/>
      <c r="B21" s="11" t="s">
        <v>120</v>
      </c>
      <c r="C21" s="43"/>
      <c r="D21" s="45"/>
      <c r="E21" s="45"/>
      <c r="F21" s="45"/>
      <c r="G21" s="43"/>
      <c r="H21" s="56"/>
      <c r="I21" s="56"/>
      <c r="J21" s="56"/>
      <c r="K21" s="56"/>
      <c r="L21" s="56"/>
      <c r="M21" s="33"/>
      <c r="N21" s="33"/>
      <c r="O21" s="33"/>
      <c r="P21" s="33"/>
      <c r="Q21" s="31"/>
      <c r="R21" s="40"/>
      <c r="S21" s="40"/>
      <c r="T21" s="40"/>
    </row>
    <row r="22" spans="1:20" ht="15" customHeight="1" x14ac:dyDescent="0.3">
      <c r="A22" s="58"/>
      <c r="B22" s="10" t="s">
        <v>121</v>
      </c>
      <c r="C22" s="42"/>
      <c r="D22" s="44"/>
      <c r="E22" s="44"/>
      <c r="F22" s="44"/>
      <c r="G22" s="46">
        <f t="shared" ref="G22" si="13">SUM(D22:F22)</f>
        <v>0</v>
      </c>
      <c r="H22" s="56"/>
      <c r="I22" s="56"/>
      <c r="J22" s="56"/>
      <c r="K22" s="56"/>
      <c r="L22" s="56"/>
      <c r="M22" s="33"/>
      <c r="N22" s="33"/>
      <c r="O22" s="33"/>
      <c r="P22" s="33"/>
      <c r="Q22" s="31" t="s">
        <v>84</v>
      </c>
      <c r="R22" s="40"/>
      <c r="S22" s="40"/>
      <c r="T22" s="40"/>
    </row>
    <row r="23" spans="1:20" ht="15" customHeight="1" thickBot="1" x14ac:dyDescent="0.35">
      <c r="A23" s="59"/>
      <c r="B23" s="10" t="s">
        <v>122</v>
      </c>
      <c r="C23" s="43"/>
      <c r="D23" s="45"/>
      <c r="E23" s="45"/>
      <c r="F23" s="45"/>
      <c r="G23" s="43"/>
      <c r="H23" s="43"/>
      <c r="I23" s="43"/>
      <c r="J23" s="43"/>
      <c r="K23" s="43"/>
      <c r="L23" s="43"/>
      <c r="M23" s="34"/>
      <c r="N23" s="34"/>
      <c r="O23" s="34"/>
      <c r="P23" s="34"/>
      <c r="Q23" s="31"/>
      <c r="R23" s="41"/>
      <c r="S23" s="41"/>
      <c r="T23" s="41"/>
    </row>
    <row r="24" spans="1:20" ht="15" customHeight="1" x14ac:dyDescent="0.3">
      <c r="A24" s="54">
        <v>4</v>
      </c>
      <c r="B24" s="11" t="s">
        <v>77</v>
      </c>
      <c r="C24" s="42" t="s">
        <v>12</v>
      </c>
      <c r="D24" s="44">
        <v>83004</v>
      </c>
      <c r="E24" s="44">
        <v>85177</v>
      </c>
      <c r="F24" s="44">
        <v>86412</v>
      </c>
      <c r="G24" s="46">
        <f t="shared" ref="G24" si="14">SUM(D24:F24)</f>
        <v>254593</v>
      </c>
      <c r="H24" s="43">
        <f>SUM(G24:G28)</f>
        <v>254593</v>
      </c>
      <c r="I24" s="53">
        <v>432</v>
      </c>
      <c r="J24" s="53">
        <v>444</v>
      </c>
      <c r="K24" s="53">
        <v>447</v>
      </c>
      <c r="L24" s="53"/>
      <c r="M24" s="34">
        <f t="shared" ref="M24:O24" si="15">(100*D24)/$T$3</f>
        <v>92.226666666666674</v>
      </c>
      <c r="N24" s="34">
        <f t="shared" si="15"/>
        <v>94.641111111111115</v>
      </c>
      <c r="O24" s="34">
        <f t="shared" si="15"/>
        <v>96.013333333333335</v>
      </c>
      <c r="P24" s="34">
        <f t="shared" ref="P24" si="16">(H24*100)/$S$3</f>
        <v>94.293703703703699</v>
      </c>
      <c r="Q24" s="31" t="s">
        <v>100</v>
      </c>
      <c r="R24" s="39" t="s">
        <v>91</v>
      </c>
      <c r="S24" s="39" t="s">
        <v>90</v>
      </c>
      <c r="T24" s="39" t="s">
        <v>90</v>
      </c>
    </row>
    <row r="25" spans="1:20" ht="15" customHeight="1" thickBot="1" x14ac:dyDescent="0.35">
      <c r="A25" s="54"/>
      <c r="B25" s="11" t="s">
        <v>78</v>
      </c>
      <c r="C25" s="43"/>
      <c r="D25" s="45"/>
      <c r="E25" s="45"/>
      <c r="F25" s="45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31"/>
      <c r="R25" s="40"/>
      <c r="S25" s="40"/>
      <c r="T25" s="40"/>
    </row>
    <row r="26" spans="1:20" ht="15" customHeight="1" x14ac:dyDescent="0.3">
      <c r="A26" s="54"/>
      <c r="B26" s="11" t="s">
        <v>76</v>
      </c>
      <c r="C26" s="42" t="s">
        <v>25</v>
      </c>
      <c r="D26" s="44"/>
      <c r="E26" s="44"/>
      <c r="F26" s="44"/>
      <c r="G26" s="46">
        <f t="shared" ref="G26" si="17">SUM(D26:F26)</f>
        <v>0</v>
      </c>
      <c r="H26" s="53"/>
      <c r="I26" s="53"/>
      <c r="J26" s="53"/>
      <c r="K26" s="53"/>
      <c r="L26" s="53"/>
      <c r="M26" s="49"/>
      <c r="N26" s="49"/>
      <c r="O26" s="49"/>
      <c r="P26" s="49"/>
      <c r="Q26" s="31" t="s">
        <v>99</v>
      </c>
      <c r="R26" s="40"/>
      <c r="S26" s="40"/>
      <c r="T26" s="40"/>
    </row>
    <row r="27" spans="1:20" ht="15" customHeight="1" thickBot="1" x14ac:dyDescent="0.35">
      <c r="A27" s="54"/>
      <c r="B27" s="11" t="s">
        <v>120</v>
      </c>
      <c r="C27" s="43"/>
      <c r="D27" s="45"/>
      <c r="E27" s="45"/>
      <c r="F27" s="45"/>
      <c r="G27" s="43"/>
      <c r="H27" s="53"/>
      <c r="I27" s="53"/>
      <c r="J27" s="53"/>
      <c r="K27" s="53"/>
      <c r="L27" s="53"/>
      <c r="M27" s="49"/>
      <c r="N27" s="49"/>
      <c r="O27" s="49"/>
      <c r="P27" s="49"/>
      <c r="Q27" s="31"/>
      <c r="R27" s="40"/>
      <c r="S27" s="40"/>
      <c r="T27" s="40"/>
    </row>
    <row r="28" spans="1:20" ht="15" customHeight="1" x14ac:dyDescent="0.3">
      <c r="A28" s="54"/>
      <c r="B28" s="10" t="s">
        <v>121</v>
      </c>
      <c r="C28" s="42" t="s">
        <v>37</v>
      </c>
      <c r="D28" s="44"/>
      <c r="E28" s="44"/>
      <c r="F28" s="44"/>
      <c r="G28" s="46">
        <f t="shared" ref="G28" si="18">SUM(D28:F28)</f>
        <v>0</v>
      </c>
      <c r="H28" s="53"/>
      <c r="I28" s="53"/>
      <c r="J28" s="53"/>
      <c r="K28" s="53"/>
      <c r="L28" s="53"/>
      <c r="M28" s="49"/>
      <c r="N28" s="49"/>
      <c r="O28" s="49"/>
      <c r="P28" s="49"/>
      <c r="Q28" s="31" t="s">
        <v>83</v>
      </c>
      <c r="R28" s="40"/>
      <c r="S28" s="40"/>
      <c r="T28" s="40"/>
    </row>
    <row r="29" spans="1:20" ht="15" customHeight="1" thickBot="1" x14ac:dyDescent="0.35">
      <c r="A29" s="54"/>
      <c r="B29" s="10" t="s">
        <v>122</v>
      </c>
      <c r="C29" s="43"/>
      <c r="D29" s="45"/>
      <c r="E29" s="45"/>
      <c r="F29" s="45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31"/>
      <c r="R29" s="41"/>
      <c r="S29" s="41"/>
      <c r="T29" s="41"/>
    </row>
    <row r="30" spans="1:20" ht="15" customHeight="1" x14ac:dyDescent="0.3">
      <c r="A30" s="54">
        <v>5</v>
      </c>
      <c r="B30" s="11" t="s">
        <v>77</v>
      </c>
      <c r="C30" s="42" t="s">
        <v>12</v>
      </c>
      <c r="D30" s="44"/>
      <c r="E30" s="44"/>
      <c r="F30" s="44"/>
      <c r="G30" s="46">
        <f t="shared" ref="G30" si="19">SUM(D30:F30)</f>
        <v>0</v>
      </c>
      <c r="H30" s="43">
        <f>SUM(G30:G34)</f>
        <v>260714</v>
      </c>
      <c r="I30" s="53">
        <v>437</v>
      </c>
      <c r="J30" s="53">
        <v>432</v>
      </c>
      <c r="K30" s="53">
        <v>443</v>
      </c>
      <c r="L30" s="53"/>
      <c r="M30" s="34">
        <f t="shared" ref="M30:O30" si="20">(100*D30)/$T$3</f>
        <v>0</v>
      </c>
      <c r="N30" s="34">
        <f t="shared" si="20"/>
        <v>0</v>
      </c>
      <c r="O30" s="34">
        <f t="shared" si="20"/>
        <v>0</v>
      </c>
      <c r="P30" s="34">
        <f t="shared" ref="P30" si="21">(H30*100)/$S$3</f>
        <v>96.560740740740741</v>
      </c>
      <c r="Q30" s="31" t="s">
        <v>98</v>
      </c>
      <c r="R30" s="39" t="s">
        <v>91</v>
      </c>
      <c r="S30" s="39" t="s">
        <v>90</v>
      </c>
      <c r="T30" s="39" t="s">
        <v>90</v>
      </c>
    </row>
    <row r="31" spans="1:20" ht="15" customHeight="1" thickBot="1" x14ac:dyDescent="0.35">
      <c r="A31" s="54"/>
      <c r="B31" s="11" t="s">
        <v>78</v>
      </c>
      <c r="C31" s="43"/>
      <c r="D31" s="45"/>
      <c r="E31" s="45"/>
      <c r="F31" s="45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31"/>
      <c r="R31" s="40"/>
      <c r="S31" s="40"/>
      <c r="T31" s="40"/>
    </row>
    <row r="32" spans="1:20" ht="15" customHeight="1" x14ac:dyDescent="0.3">
      <c r="A32" s="54"/>
      <c r="B32" s="11" t="s">
        <v>76</v>
      </c>
      <c r="C32" s="42" t="s">
        <v>25</v>
      </c>
      <c r="D32" s="44"/>
      <c r="E32" s="44"/>
      <c r="F32" s="44"/>
      <c r="G32" s="46">
        <f t="shared" ref="G32" si="22">SUM(D32:F32)</f>
        <v>0</v>
      </c>
      <c r="H32" s="53"/>
      <c r="I32" s="53"/>
      <c r="J32" s="53"/>
      <c r="K32" s="53"/>
      <c r="L32" s="53"/>
      <c r="M32" s="49"/>
      <c r="N32" s="49"/>
      <c r="O32" s="49"/>
      <c r="P32" s="49"/>
      <c r="Q32" s="31" t="s">
        <v>97</v>
      </c>
      <c r="R32" s="40"/>
      <c r="S32" s="40"/>
      <c r="T32" s="40"/>
    </row>
    <row r="33" spans="1:20" ht="15" customHeight="1" thickBot="1" x14ac:dyDescent="0.35">
      <c r="A33" s="54"/>
      <c r="B33" s="11" t="s">
        <v>120</v>
      </c>
      <c r="C33" s="43"/>
      <c r="D33" s="45"/>
      <c r="E33" s="45"/>
      <c r="F33" s="45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31"/>
      <c r="R33" s="40"/>
      <c r="S33" s="40"/>
      <c r="T33" s="40"/>
    </row>
    <row r="34" spans="1:20" ht="15" customHeight="1" x14ac:dyDescent="0.3">
      <c r="A34" s="54"/>
      <c r="B34" s="10" t="s">
        <v>121</v>
      </c>
      <c r="C34" s="42" t="s">
        <v>37</v>
      </c>
      <c r="D34" s="44">
        <v>87121</v>
      </c>
      <c r="E34" s="44">
        <v>85446</v>
      </c>
      <c r="F34" s="44">
        <v>88147</v>
      </c>
      <c r="G34" s="46">
        <f t="shared" ref="G34" si="23">SUM(D34:F34)</f>
        <v>260714</v>
      </c>
      <c r="H34" s="53"/>
      <c r="I34" s="53"/>
      <c r="J34" s="53"/>
      <c r="K34" s="53"/>
      <c r="L34" s="53"/>
      <c r="M34" s="49"/>
      <c r="N34" s="49"/>
      <c r="O34" s="49"/>
      <c r="P34" s="49"/>
      <c r="Q34" s="31" t="s">
        <v>102</v>
      </c>
      <c r="R34" s="40"/>
      <c r="S34" s="40"/>
      <c r="T34" s="40"/>
    </row>
    <row r="35" spans="1:20" ht="15" customHeight="1" thickBot="1" x14ac:dyDescent="0.35">
      <c r="A35" s="54"/>
      <c r="B35" s="10" t="s">
        <v>122</v>
      </c>
      <c r="C35" s="43"/>
      <c r="D35" s="45"/>
      <c r="E35" s="45"/>
      <c r="F35" s="45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31"/>
      <c r="R35" s="41"/>
      <c r="S35" s="41"/>
      <c r="T35" s="41"/>
    </row>
    <row r="36" spans="1:20" ht="15" customHeight="1" x14ac:dyDescent="0.3">
      <c r="A36" s="54">
        <v>6</v>
      </c>
      <c r="B36" s="11" t="s">
        <v>77</v>
      </c>
      <c r="C36" s="42" t="s">
        <v>27</v>
      </c>
      <c r="D36" s="44">
        <v>47911</v>
      </c>
      <c r="E36" s="44"/>
      <c r="F36" s="44">
        <v>83698</v>
      </c>
      <c r="G36" s="46">
        <f t="shared" ref="G36" si="24">SUM(D36:F36)</f>
        <v>131609</v>
      </c>
      <c r="H36" s="43">
        <f>SUM(G36:G40)</f>
        <v>131609</v>
      </c>
      <c r="I36" s="53">
        <v>253</v>
      </c>
      <c r="J36" s="53"/>
      <c r="K36" s="53">
        <v>443</v>
      </c>
      <c r="L36" s="53"/>
      <c r="M36" s="34">
        <f t="shared" ref="M36:O36" si="25">(100*D36)/$T$3</f>
        <v>53.234444444444442</v>
      </c>
      <c r="N36" s="34">
        <f t="shared" si="25"/>
        <v>0</v>
      </c>
      <c r="O36" s="34">
        <f t="shared" si="25"/>
        <v>92.997777777777785</v>
      </c>
      <c r="P36" s="34">
        <f t="shared" ref="P36" si="26">(H36*100)/$S$3</f>
        <v>48.744074074074071</v>
      </c>
      <c r="Q36" s="31" t="s">
        <v>96</v>
      </c>
      <c r="R36" s="39" t="s">
        <v>92</v>
      </c>
      <c r="S36" s="50" t="s">
        <v>88</v>
      </c>
      <c r="T36" s="39" t="s">
        <v>90</v>
      </c>
    </row>
    <row r="37" spans="1:20" ht="15" customHeight="1" thickBot="1" x14ac:dyDescent="0.35">
      <c r="A37" s="54"/>
      <c r="B37" s="11" t="s">
        <v>78</v>
      </c>
      <c r="C37" s="43"/>
      <c r="D37" s="45"/>
      <c r="E37" s="45"/>
      <c r="F37" s="45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31"/>
      <c r="R37" s="40"/>
      <c r="S37" s="50"/>
      <c r="T37" s="40"/>
    </row>
    <row r="38" spans="1:20" ht="15" customHeight="1" x14ac:dyDescent="0.3">
      <c r="A38" s="54"/>
      <c r="B38" s="11" t="s">
        <v>76</v>
      </c>
      <c r="C38" s="42"/>
      <c r="D38" s="44"/>
      <c r="E38" s="44"/>
      <c r="F38" s="44"/>
      <c r="G38" s="46">
        <f t="shared" ref="G38" si="27">SUM(D38:F38)</f>
        <v>0</v>
      </c>
      <c r="H38" s="43"/>
      <c r="I38" s="53"/>
      <c r="J38" s="53"/>
      <c r="K38" s="53"/>
      <c r="L38" s="53"/>
      <c r="M38" s="34"/>
      <c r="N38" s="34"/>
      <c r="O38" s="34"/>
      <c r="P38" s="34"/>
      <c r="Q38" s="31"/>
      <c r="R38" s="40"/>
      <c r="S38" s="50"/>
      <c r="T38" s="40"/>
    </row>
    <row r="39" spans="1:20" ht="15" customHeight="1" thickBot="1" x14ac:dyDescent="0.35">
      <c r="A39" s="54"/>
      <c r="B39" s="11" t="s">
        <v>120</v>
      </c>
      <c r="C39" s="43"/>
      <c r="D39" s="45"/>
      <c r="E39" s="45"/>
      <c r="F39" s="45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31"/>
      <c r="R39" s="40"/>
      <c r="S39" s="51"/>
      <c r="T39" s="40"/>
    </row>
    <row r="40" spans="1:20" ht="15" customHeight="1" x14ac:dyDescent="0.3">
      <c r="A40" s="54"/>
      <c r="B40" s="10" t="s">
        <v>121</v>
      </c>
      <c r="C40" s="42"/>
      <c r="D40" s="44"/>
      <c r="E40" s="44"/>
      <c r="F40" s="44"/>
      <c r="G40" s="46">
        <f t="shared" ref="G40" si="28"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31" t="s">
        <v>82</v>
      </c>
      <c r="R40" s="40"/>
      <c r="S40" s="51"/>
      <c r="T40" s="40"/>
    </row>
    <row r="41" spans="1:20" ht="15" customHeight="1" thickBot="1" x14ac:dyDescent="0.35">
      <c r="A41" s="54"/>
      <c r="B41" s="10" t="s">
        <v>122</v>
      </c>
      <c r="C41" s="43"/>
      <c r="D41" s="45"/>
      <c r="E41" s="45"/>
      <c r="F41" s="45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31"/>
      <c r="R41" s="41"/>
      <c r="S41" s="51"/>
      <c r="T41" s="41"/>
    </row>
    <row r="42" spans="1:20" ht="15" customHeight="1" x14ac:dyDescent="0.3">
      <c r="A42" s="54">
        <v>7</v>
      </c>
      <c r="B42" s="11" t="s">
        <v>77</v>
      </c>
      <c r="C42" s="42" t="s">
        <v>13</v>
      </c>
      <c r="D42" s="44">
        <v>28276</v>
      </c>
      <c r="E42" s="44">
        <v>37027</v>
      </c>
      <c r="F42" s="44">
        <v>82012</v>
      </c>
      <c r="G42" s="46">
        <f t="shared" ref="G42" si="29">SUM(D42:F42)</f>
        <v>147315</v>
      </c>
      <c r="H42" s="43">
        <f>SUM(G42:G46)</f>
        <v>147315</v>
      </c>
      <c r="I42" s="53">
        <v>152</v>
      </c>
      <c r="J42" s="53">
        <v>199</v>
      </c>
      <c r="K42" s="53">
        <v>443</v>
      </c>
      <c r="L42" s="53"/>
      <c r="M42" s="34">
        <f t="shared" ref="M42:O42" si="30">(100*D42)/$T$3</f>
        <v>31.417777777777779</v>
      </c>
      <c r="N42" s="34">
        <f t="shared" si="30"/>
        <v>41.141111111111108</v>
      </c>
      <c r="O42" s="34">
        <f t="shared" si="30"/>
        <v>91.12444444444445</v>
      </c>
      <c r="P42" s="34">
        <f>(H42*100)/$S$3</f>
        <v>54.56111111111111</v>
      </c>
      <c r="Q42" s="52" t="s">
        <v>95</v>
      </c>
      <c r="R42" s="39" t="s">
        <v>93</v>
      </c>
      <c r="S42" s="50" t="s">
        <v>89</v>
      </c>
      <c r="T42" s="39" t="s">
        <v>90</v>
      </c>
    </row>
    <row r="43" spans="1:20" ht="15" customHeight="1" thickBot="1" x14ac:dyDescent="0.35">
      <c r="A43" s="54"/>
      <c r="B43" s="11" t="s">
        <v>78</v>
      </c>
      <c r="C43" s="43"/>
      <c r="D43" s="45"/>
      <c r="E43" s="45"/>
      <c r="F43" s="45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52"/>
      <c r="R43" s="40"/>
      <c r="S43" s="50"/>
      <c r="T43" s="40"/>
    </row>
    <row r="44" spans="1:20" ht="15" customHeight="1" x14ac:dyDescent="0.3">
      <c r="A44" s="54"/>
      <c r="B44" s="11" t="s">
        <v>76</v>
      </c>
      <c r="C44" s="42"/>
      <c r="D44" s="44"/>
      <c r="E44" s="44"/>
      <c r="F44" s="44"/>
      <c r="G44" s="46">
        <f t="shared" ref="G44" si="31"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31" t="s">
        <v>94</v>
      </c>
      <c r="R44" s="40"/>
      <c r="S44" s="51"/>
      <c r="T44" s="40"/>
    </row>
    <row r="45" spans="1:20" ht="15" customHeight="1" thickBot="1" x14ac:dyDescent="0.35">
      <c r="A45" s="54"/>
      <c r="B45" s="11" t="s">
        <v>120</v>
      </c>
      <c r="C45" s="43"/>
      <c r="D45" s="45"/>
      <c r="E45" s="45"/>
      <c r="F45" s="45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31"/>
      <c r="R45" s="40"/>
      <c r="S45" s="51"/>
      <c r="T45" s="40"/>
    </row>
    <row r="46" spans="1:20" ht="15" customHeight="1" x14ac:dyDescent="0.3">
      <c r="A46" s="54"/>
      <c r="B46" s="10" t="s">
        <v>121</v>
      </c>
      <c r="C46" s="42"/>
      <c r="D46" s="44"/>
      <c r="E46" s="44"/>
      <c r="F46" s="44"/>
      <c r="G46" s="46">
        <f t="shared" ref="G46" si="32"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52" t="s">
        <v>81</v>
      </c>
      <c r="R46" s="40"/>
      <c r="S46" s="51"/>
      <c r="T46" s="40"/>
    </row>
    <row r="47" spans="1:20" ht="15" customHeight="1" thickBot="1" x14ac:dyDescent="0.35">
      <c r="A47" s="54"/>
      <c r="B47" s="10" t="s">
        <v>122</v>
      </c>
      <c r="C47" s="47"/>
      <c r="D47" s="48"/>
      <c r="E47" s="48"/>
      <c r="F47" s="48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52"/>
      <c r="R47" s="41"/>
      <c r="S47" s="51"/>
      <c r="T47" s="41"/>
    </row>
    <row r="48" spans="1:20" ht="15" thickBot="1" x14ac:dyDescent="0.35">
      <c r="C48" s="35" t="s">
        <v>23</v>
      </c>
      <c r="D48" s="37">
        <f>SUM(D6:D47)</f>
        <v>486585</v>
      </c>
      <c r="E48" s="37">
        <f>SUM(E6:E47)</f>
        <v>440643</v>
      </c>
      <c r="F48" s="37">
        <f>SUM(F6:F47)</f>
        <v>587657</v>
      </c>
      <c r="G48" s="37">
        <f>SUM(G6:G46)</f>
        <v>1514885</v>
      </c>
      <c r="H48" s="37">
        <f>SUM(H6:H47)</f>
        <v>1514885</v>
      </c>
    </row>
    <row r="49" spans="3:17" ht="15" thickBot="1" x14ac:dyDescent="0.35">
      <c r="C49" s="36"/>
      <c r="D49" s="38"/>
      <c r="E49" s="38"/>
      <c r="F49" s="38"/>
      <c r="G49" s="38"/>
      <c r="H49" s="38"/>
      <c r="J49" s="18" t="s">
        <v>61</v>
      </c>
      <c r="K49" s="18" t="s">
        <v>62</v>
      </c>
      <c r="L49" s="27" t="s">
        <v>63</v>
      </c>
      <c r="M49" s="28"/>
      <c r="N49" s="18" t="s">
        <v>62</v>
      </c>
      <c r="O49" s="18" t="s">
        <v>64</v>
      </c>
      <c r="P49" s="18" t="s">
        <v>62</v>
      </c>
      <c r="Q49" s="22"/>
    </row>
    <row r="50" spans="3:17" x14ac:dyDescent="0.3">
      <c r="J50" s="19">
        <v>6</v>
      </c>
      <c r="K50" s="19" t="s">
        <v>65</v>
      </c>
      <c r="L50" s="29">
        <v>6</v>
      </c>
      <c r="M50" s="30"/>
      <c r="N50" s="19" t="s">
        <v>109</v>
      </c>
      <c r="O50" s="19"/>
      <c r="P50" s="19"/>
      <c r="Q50" s="23"/>
    </row>
    <row r="51" spans="3:17" x14ac:dyDescent="0.3">
      <c r="J51" s="19">
        <v>7</v>
      </c>
      <c r="K51" s="19" t="s">
        <v>65</v>
      </c>
      <c r="L51" s="29">
        <v>7</v>
      </c>
      <c r="M51" s="30"/>
      <c r="N51" s="19" t="s">
        <v>65</v>
      </c>
      <c r="O51" s="19"/>
      <c r="P51" s="19"/>
      <c r="Q51" s="23"/>
    </row>
    <row r="52" spans="3:17" x14ac:dyDescent="0.3">
      <c r="J52" s="19"/>
      <c r="K52" s="19"/>
      <c r="L52" s="29"/>
      <c r="M52" s="30"/>
      <c r="N52" s="19"/>
      <c r="O52" s="19"/>
      <c r="P52" s="19"/>
      <c r="Q52" s="24"/>
    </row>
    <row r="53" spans="3:17" x14ac:dyDescent="0.3">
      <c r="J53" s="19"/>
      <c r="K53" s="19"/>
      <c r="L53" s="29"/>
      <c r="M53" s="30"/>
      <c r="N53" s="19"/>
      <c r="O53" s="19"/>
      <c r="P53" s="19"/>
      <c r="Q53" s="24"/>
    </row>
    <row r="54" spans="3:17" x14ac:dyDescent="0.3">
      <c r="Q54" s="25"/>
    </row>
    <row r="64" spans="3:17" x14ac:dyDescent="0.3">
      <c r="I64" t="s">
        <v>74</v>
      </c>
      <c r="J64" t="s">
        <v>108</v>
      </c>
      <c r="K64" t="s">
        <v>109</v>
      </c>
      <c r="M64" t="s">
        <v>65</v>
      </c>
      <c r="O64" t="s">
        <v>110</v>
      </c>
    </row>
  </sheetData>
  <mergeCells count="242">
    <mergeCell ref="A1:C3"/>
    <mergeCell ref="D1:R3"/>
    <mergeCell ref="S1:T1"/>
    <mergeCell ref="A4:A5"/>
    <mergeCell ref="B4:B5"/>
    <mergeCell ref="C4:C5"/>
    <mergeCell ref="D4:F4"/>
    <mergeCell ref="G4:G5"/>
    <mergeCell ref="H4:H5"/>
    <mergeCell ref="I4:K4"/>
    <mergeCell ref="J6:J11"/>
    <mergeCell ref="K6:K11"/>
    <mergeCell ref="L6:L11"/>
    <mergeCell ref="M6:M11"/>
    <mergeCell ref="L4:L5"/>
    <mergeCell ref="M4:P4"/>
    <mergeCell ref="Q4:Q5"/>
    <mergeCell ref="R4:T4"/>
    <mergeCell ref="A6:A11"/>
    <mergeCell ref="C6:C7"/>
    <mergeCell ref="D6:D7"/>
    <mergeCell ref="E6:E7"/>
    <mergeCell ref="F6:F7"/>
    <mergeCell ref="G6:G7"/>
    <mergeCell ref="G10:G11"/>
    <mergeCell ref="S6:S11"/>
    <mergeCell ref="A12:A17"/>
    <mergeCell ref="C12:C13"/>
    <mergeCell ref="D12:D13"/>
    <mergeCell ref="E12:E13"/>
    <mergeCell ref="F12:F13"/>
    <mergeCell ref="G12:G13"/>
    <mergeCell ref="G16:G17"/>
    <mergeCell ref="T6:T11"/>
    <mergeCell ref="C8:C9"/>
    <mergeCell ref="D8:D9"/>
    <mergeCell ref="E8:E9"/>
    <mergeCell ref="F8:F9"/>
    <mergeCell ref="G8:G9"/>
    <mergeCell ref="C10:C11"/>
    <mergeCell ref="D10:D11"/>
    <mergeCell ref="E10:E11"/>
    <mergeCell ref="F10:F11"/>
    <mergeCell ref="N6:N11"/>
    <mergeCell ref="O6:O11"/>
    <mergeCell ref="P6:P11"/>
    <mergeCell ref="R6:R11"/>
    <mergeCell ref="H6:H11"/>
    <mergeCell ref="I6:I11"/>
    <mergeCell ref="T12:T17"/>
    <mergeCell ref="R12:R17"/>
    <mergeCell ref="S12:S17"/>
    <mergeCell ref="H12:H17"/>
    <mergeCell ref="I12:I17"/>
    <mergeCell ref="J12:J17"/>
    <mergeCell ref="K12:K17"/>
    <mergeCell ref="L12:L17"/>
    <mergeCell ref="M12:M17"/>
    <mergeCell ref="C14:C15"/>
    <mergeCell ref="D14:D15"/>
    <mergeCell ref="E14:E15"/>
    <mergeCell ref="F14:F15"/>
    <mergeCell ref="G14:G15"/>
    <mergeCell ref="C16:C17"/>
    <mergeCell ref="D16:D17"/>
    <mergeCell ref="E16:E17"/>
    <mergeCell ref="F16:F17"/>
    <mergeCell ref="H18:H23"/>
    <mergeCell ref="I18:I23"/>
    <mergeCell ref="J18:J23"/>
    <mergeCell ref="K18:K23"/>
    <mergeCell ref="L18:L23"/>
    <mergeCell ref="M18:M23"/>
    <mergeCell ref="A18:A23"/>
    <mergeCell ref="C18:C19"/>
    <mergeCell ref="D18:D19"/>
    <mergeCell ref="E18:E19"/>
    <mergeCell ref="F18:F19"/>
    <mergeCell ref="G18:G19"/>
    <mergeCell ref="G22:G23"/>
    <mergeCell ref="A24:A29"/>
    <mergeCell ref="C24:C25"/>
    <mergeCell ref="D24:D25"/>
    <mergeCell ref="E24:E25"/>
    <mergeCell ref="F24:F25"/>
    <mergeCell ref="G24:G25"/>
    <mergeCell ref="G28:G29"/>
    <mergeCell ref="T18:T23"/>
    <mergeCell ref="C20:C21"/>
    <mergeCell ref="D20:D21"/>
    <mergeCell ref="E20:E21"/>
    <mergeCell ref="F20:F21"/>
    <mergeCell ref="G20:G21"/>
    <mergeCell ref="C22:C23"/>
    <mergeCell ref="D22:D23"/>
    <mergeCell ref="E22:E23"/>
    <mergeCell ref="F22:F23"/>
    <mergeCell ref="N18:N23"/>
    <mergeCell ref="O18:O23"/>
    <mergeCell ref="P18:P23"/>
    <mergeCell ref="R18:R23"/>
    <mergeCell ref="S18:S23"/>
    <mergeCell ref="Q20:Q21"/>
    <mergeCell ref="Q18:Q19"/>
    <mergeCell ref="T24:T29"/>
    <mergeCell ref="C26:C27"/>
    <mergeCell ref="D26:D27"/>
    <mergeCell ref="E26:E27"/>
    <mergeCell ref="F26:F27"/>
    <mergeCell ref="G26:G27"/>
    <mergeCell ref="C28:C29"/>
    <mergeCell ref="D28:D29"/>
    <mergeCell ref="E28:E29"/>
    <mergeCell ref="F28:F29"/>
    <mergeCell ref="N24:N29"/>
    <mergeCell ref="O24:O29"/>
    <mergeCell ref="P24:P29"/>
    <mergeCell ref="R24:R29"/>
    <mergeCell ref="S24:S29"/>
    <mergeCell ref="Q28:Q29"/>
    <mergeCell ref="Q26:Q27"/>
    <mergeCell ref="Q24:Q25"/>
    <mergeCell ref="H24:H29"/>
    <mergeCell ref="I24:I29"/>
    <mergeCell ref="J24:J29"/>
    <mergeCell ref="K24:K29"/>
    <mergeCell ref="L24:L29"/>
    <mergeCell ref="M24:M29"/>
    <mergeCell ref="H30:H35"/>
    <mergeCell ref="I30:I35"/>
    <mergeCell ref="J30:J35"/>
    <mergeCell ref="K30:K35"/>
    <mergeCell ref="L30:L35"/>
    <mergeCell ref="M30:M35"/>
    <mergeCell ref="A30:A35"/>
    <mergeCell ref="C30:C31"/>
    <mergeCell ref="D30:D31"/>
    <mergeCell ref="E30:E31"/>
    <mergeCell ref="F30:F31"/>
    <mergeCell ref="G30:G31"/>
    <mergeCell ref="G34:G35"/>
    <mergeCell ref="A36:A41"/>
    <mergeCell ref="C36:C37"/>
    <mergeCell ref="D36:D37"/>
    <mergeCell ref="E36:E37"/>
    <mergeCell ref="F36:F37"/>
    <mergeCell ref="G36:G37"/>
    <mergeCell ref="G40:G41"/>
    <mergeCell ref="T30:T35"/>
    <mergeCell ref="C32:C33"/>
    <mergeCell ref="D32:D33"/>
    <mergeCell ref="E32:E33"/>
    <mergeCell ref="F32:F33"/>
    <mergeCell ref="G32:G33"/>
    <mergeCell ref="C34:C35"/>
    <mergeCell ref="D34:D35"/>
    <mergeCell ref="E34:E35"/>
    <mergeCell ref="F34:F35"/>
    <mergeCell ref="N30:N35"/>
    <mergeCell ref="O30:O35"/>
    <mergeCell ref="P30:P35"/>
    <mergeCell ref="R30:R35"/>
    <mergeCell ref="S30:S35"/>
    <mergeCell ref="Q34:Q35"/>
    <mergeCell ref="Q32:Q33"/>
    <mergeCell ref="T36:T41"/>
    <mergeCell ref="C38:C39"/>
    <mergeCell ref="D38:D39"/>
    <mergeCell ref="E38:E39"/>
    <mergeCell ref="F38:F39"/>
    <mergeCell ref="G38:G39"/>
    <mergeCell ref="C40:C41"/>
    <mergeCell ref="D40:D41"/>
    <mergeCell ref="E40:E41"/>
    <mergeCell ref="F40:F41"/>
    <mergeCell ref="N36:N41"/>
    <mergeCell ref="O36:O41"/>
    <mergeCell ref="P36:P41"/>
    <mergeCell ref="R36:R41"/>
    <mergeCell ref="S36:S41"/>
    <mergeCell ref="Q38:Q39"/>
    <mergeCell ref="Q36:Q37"/>
    <mergeCell ref="Q40:Q41"/>
    <mergeCell ref="H36:H41"/>
    <mergeCell ref="I36:I41"/>
    <mergeCell ref="J36:J41"/>
    <mergeCell ref="K36:K41"/>
    <mergeCell ref="L36:L41"/>
    <mergeCell ref="M36:M41"/>
    <mergeCell ref="H42:H47"/>
    <mergeCell ref="I42:I47"/>
    <mergeCell ref="J42:J47"/>
    <mergeCell ref="K42:K47"/>
    <mergeCell ref="L42:L47"/>
    <mergeCell ref="M42:M47"/>
    <mergeCell ref="A42:A47"/>
    <mergeCell ref="C42:C43"/>
    <mergeCell ref="D42:D43"/>
    <mergeCell ref="E42:E43"/>
    <mergeCell ref="F42:F43"/>
    <mergeCell ref="G42:G43"/>
    <mergeCell ref="G46:G47"/>
    <mergeCell ref="C48:C49"/>
    <mergeCell ref="D48:D49"/>
    <mergeCell ref="E48:E49"/>
    <mergeCell ref="F48:F49"/>
    <mergeCell ref="G48:G49"/>
    <mergeCell ref="H48:H49"/>
    <mergeCell ref="T42:T47"/>
    <mergeCell ref="C44:C45"/>
    <mergeCell ref="D44:D45"/>
    <mergeCell ref="E44:E45"/>
    <mergeCell ref="F44:F45"/>
    <mergeCell ref="G44:G45"/>
    <mergeCell ref="C46:C47"/>
    <mergeCell ref="D46:D47"/>
    <mergeCell ref="E46:E47"/>
    <mergeCell ref="F46:F47"/>
    <mergeCell ref="N42:N47"/>
    <mergeCell ref="O42:O47"/>
    <mergeCell ref="P42:P47"/>
    <mergeCell ref="R42:R47"/>
    <mergeCell ref="S42:S47"/>
    <mergeCell ref="Q46:Q47"/>
    <mergeCell ref="Q44:Q45"/>
    <mergeCell ref="Q42:Q43"/>
    <mergeCell ref="L49:M49"/>
    <mergeCell ref="L53:M53"/>
    <mergeCell ref="Q6:Q7"/>
    <mergeCell ref="Q10:Q11"/>
    <mergeCell ref="Q8:Q9"/>
    <mergeCell ref="Q16:Q17"/>
    <mergeCell ref="Q12:Q13"/>
    <mergeCell ref="Q14:Q15"/>
    <mergeCell ref="Q22:Q23"/>
    <mergeCell ref="Q30:Q31"/>
    <mergeCell ref="L52:M52"/>
    <mergeCell ref="L51:M51"/>
    <mergeCell ref="L50:M50"/>
    <mergeCell ref="N12:N17"/>
    <mergeCell ref="O12:O17"/>
    <mergeCell ref="P12:P17"/>
  </mergeCells>
  <pageMargins left="3.937007874015748E-2" right="3.937007874015748E-2" top="0.19685039370078741" bottom="3.937007874015748E-2" header="0.31496062992125984" footer="0.31496062992125984"/>
  <pageSetup paperSize="8" scale="94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8EDD-1F25-4911-9B42-94BC0677E445}">
  <sheetPr>
    <pageSetUpPr fitToPage="1"/>
  </sheetPr>
  <dimension ref="A1:T64"/>
  <sheetViews>
    <sheetView tabSelected="1" zoomScale="85" zoomScaleNormal="85" workbookViewId="0">
      <selection activeCell="M12" sqref="M12:M17"/>
    </sheetView>
  </sheetViews>
  <sheetFormatPr defaultRowHeight="14.4" x14ac:dyDescent="0.3"/>
  <cols>
    <col min="1" max="1" width="7.88671875" customWidth="1"/>
    <col min="2" max="2" width="12.88671875" customWidth="1"/>
    <col min="3" max="3" width="14.33203125" customWidth="1"/>
    <col min="4" max="4" width="7.44140625" customWidth="1"/>
    <col min="5" max="5" width="7.88671875" customWidth="1"/>
    <col min="6" max="6" width="8.109375" customWidth="1"/>
    <col min="7" max="7" width="10" customWidth="1"/>
    <col min="8" max="8" width="13" customWidth="1"/>
    <col min="12" max="12" width="5.33203125" customWidth="1"/>
    <col min="13" max="13" width="7.109375" customWidth="1"/>
    <col min="14" max="14" width="7.77734375" customWidth="1"/>
    <col min="15" max="15" width="7.44140625" customWidth="1"/>
    <col min="16" max="16" width="9" customWidth="1"/>
    <col min="17" max="17" width="12.88671875" customWidth="1"/>
    <col min="18" max="20" width="20.77734375" customWidth="1"/>
  </cols>
  <sheetData>
    <row r="1" spans="1:20" ht="15" customHeight="1" thickBot="1" x14ac:dyDescent="0.35">
      <c r="A1" s="71"/>
      <c r="B1" s="72"/>
      <c r="C1" s="73"/>
      <c r="D1" s="80" t="s">
        <v>22</v>
      </c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2"/>
      <c r="S1" s="89" t="s">
        <v>123</v>
      </c>
      <c r="T1" s="90"/>
    </row>
    <row r="2" spans="1:20" ht="15" customHeight="1" thickBo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5"/>
      <c r="S2" s="7" t="s">
        <v>19</v>
      </c>
      <c r="T2" s="7" t="s">
        <v>20</v>
      </c>
    </row>
    <row r="3" spans="1:20" ht="15" customHeight="1" thickBot="1" x14ac:dyDescent="0.35">
      <c r="A3" s="77"/>
      <c r="B3" s="78"/>
      <c r="C3" s="79"/>
      <c r="D3" s="86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8"/>
      <c r="S3" s="8">
        <v>270000</v>
      </c>
      <c r="T3" s="6">
        <v>90000</v>
      </c>
    </row>
    <row r="4" spans="1:20" ht="21" customHeight="1" thickBot="1" x14ac:dyDescent="0.35">
      <c r="A4" s="91" t="s">
        <v>0</v>
      </c>
      <c r="B4" s="93" t="s">
        <v>1</v>
      </c>
      <c r="C4" s="93" t="s">
        <v>2</v>
      </c>
      <c r="D4" s="95" t="s">
        <v>3</v>
      </c>
      <c r="E4" s="96"/>
      <c r="F4" s="96"/>
      <c r="G4" s="61" t="s">
        <v>18</v>
      </c>
      <c r="H4" s="61" t="s">
        <v>7</v>
      </c>
      <c r="I4" s="95" t="s">
        <v>8</v>
      </c>
      <c r="J4" s="96"/>
      <c r="K4" s="98"/>
      <c r="L4" s="61" t="s">
        <v>17</v>
      </c>
      <c r="M4" s="63" t="s">
        <v>9</v>
      </c>
      <c r="N4" s="64"/>
      <c r="O4" s="64"/>
      <c r="P4" s="64"/>
      <c r="Q4" s="61" t="s">
        <v>75</v>
      </c>
      <c r="R4" s="66" t="s">
        <v>11</v>
      </c>
      <c r="S4" s="67"/>
      <c r="T4" s="68"/>
    </row>
    <row r="5" spans="1:20" ht="28.8" customHeight="1" thickBot="1" x14ac:dyDescent="0.35">
      <c r="A5" s="92"/>
      <c r="B5" s="94"/>
      <c r="C5" s="94"/>
      <c r="D5" s="1" t="s">
        <v>4</v>
      </c>
      <c r="E5" s="2" t="s">
        <v>5</v>
      </c>
      <c r="F5" s="4" t="s">
        <v>6</v>
      </c>
      <c r="G5" s="97"/>
      <c r="H5" s="97"/>
      <c r="I5" s="1" t="s">
        <v>4</v>
      </c>
      <c r="J5" s="2" t="s">
        <v>5</v>
      </c>
      <c r="K5" s="3" t="s">
        <v>6</v>
      </c>
      <c r="L5" s="62"/>
      <c r="M5" s="1" t="s">
        <v>4</v>
      </c>
      <c r="N5" s="2" t="s">
        <v>5</v>
      </c>
      <c r="O5" s="3" t="s">
        <v>6</v>
      </c>
      <c r="P5" s="21" t="s">
        <v>10</v>
      </c>
      <c r="Q5" s="65"/>
      <c r="R5" s="1" t="s">
        <v>4</v>
      </c>
      <c r="S5" s="2" t="s">
        <v>5</v>
      </c>
      <c r="T5" s="3" t="s">
        <v>6</v>
      </c>
    </row>
    <row r="6" spans="1:20" ht="15" customHeight="1" x14ac:dyDescent="0.3">
      <c r="A6" s="69">
        <v>1</v>
      </c>
      <c r="B6" s="11" t="s">
        <v>77</v>
      </c>
      <c r="C6" s="46" t="s">
        <v>12</v>
      </c>
      <c r="D6" s="70">
        <v>87094</v>
      </c>
      <c r="E6" s="70">
        <v>89118</v>
      </c>
      <c r="F6" s="70">
        <v>86110</v>
      </c>
      <c r="G6" s="46">
        <f>SUM(D6:F6)</f>
        <v>262322</v>
      </c>
      <c r="H6" s="46">
        <f>SUM(G6:G10)</f>
        <v>262322</v>
      </c>
      <c r="I6" s="46">
        <v>455</v>
      </c>
      <c r="J6" s="46">
        <v>459</v>
      </c>
      <c r="K6" s="46">
        <v>454</v>
      </c>
      <c r="L6" s="46"/>
      <c r="M6" s="60">
        <f>(100*D6)/$T$3</f>
        <v>96.771111111111111</v>
      </c>
      <c r="N6" s="60">
        <f t="shared" ref="N6:O6" si="0">(100*E6)/$T$3</f>
        <v>99.02</v>
      </c>
      <c r="O6" s="60">
        <f t="shared" si="0"/>
        <v>95.677777777777777</v>
      </c>
      <c r="P6" s="60">
        <f>(H6*100)/$S$3</f>
        <v>97.15629629629629</v>
      </c>
      <c r="Q6" s="31" t="s">
        <v>126</v>
      </c>
      <c r="R6" s="39" t="s">
        <v>148</v>
      </c>
      <c r="S6" s="39" t="s">
        <v>148</v>
      </c>
      <c r="T6" s="39" t="s">
        <v>148</v>
      </c>
    </row>
    <row r="7" spans="1:20" ht="15" customHeight="1" thickBot="1" x14ac:dyDescent="0.35">
      <c r="A7" s="58"/>
      <c r="B7" s="11" t="s">
        <v>78</v>
      </c>
      <c r="C7" s="43"/>
      <c r="D7" s="45"/>
      <c r="E7" s="45"/>
      <c r="F7" s="45"/>
      <c r="G7" s="43"/>
      <c r="H7" s="56"/>
      <c r="I7" s="56"/>
      <c r="J7" s="56"/>
      <c r="K7" s="56"/>
      <c r="L7" s="56"/>
      <c r="M7" s="33"/>
      <c r="N7" s="33"/>
      <c r="O7" s="33"/>
      <c r="P7" s="33"/>
      <c r="Q7" s="31"/>
      <c r="R7" s="40"/>
      <c r="S7" s="40"/>
      <c r="T7" s="40"/>
    </row>
    <row r="8" spans="1:20" ht="15" customHeight="1" x14ac:dyDescent="0.3">
      <c r="A8" s="58"/>
      <c r="B8" s="11" t="s">
        <v>76</v>
      </c>
      <c r="C8" s="42"/>
      <c r="D8" s="44"/>
      <c r="E8" s="44"/>
      <c r="F8" s="44"/>
      <c r="G8" s="46">
        <f t="shared" ref="G8" si="1">SUM(D8:F8)</f>
        <v>0</v>
      </c>
      <c r="H8" s="56"/>
      <c r="I8" s="56"/>
      <c r="J8" s="56"/>
      <c r="K8" s="56"/>
      <c r="L8" s="56"/>
      <c r="M8" s="33"/>
      <c r="N8" s="33"/>
      <c r="O8" s="33"/>
      <c r="P8" s="33"/>
      <c r="Q8" s="31" t="s">
        <v>133</v>
      </c>
      <c r="R8" s="40"/>
      <c r="S8" s="40"/>
      <c r="T8" s="40"/>
    </row>
    <row r="9" spans="1:20" ht="15" thickBot="1" x14ac:dyDescent="0.35">
      <c r="A9" s="58"/>
      <c r="B9" s="11" t="s">
        <v>120</v>
      </c>
      <c r="C9" s="43"/>
      <c r="D9" s="45"/>
      <c r="E9" s="45"/>
      <c r="F9" s="45"/>
      <c r="G9" s="43"/>
      <c r="H9" s="56"/>
      <c r="I9" s="56"/>
      <c r="J9" s="56"/>
      <c r="K9" s="56"/>
      <c r="L9" s="56"/>
      <c r="M9" s="33"/>
      <c r="N9" s="33"/>
      <c r="O9" s="33"/>
      <c r="P9" s="33"/>
      <c r="Q9" s="31"/>
      <c r="R9" s="40"/>
      <c r="S9" s="40"/>
      <c r="T9" s="40"/>
    </row>
    <row r="10" spans="1:20" ht="15" customHeight="1" x14ac:dyDescent="0.3">
      <c r="A10" s="58"/>
      <c r="B10" s="10" t="s">
        <v>121</v>
      </c>
      <c r="C10" s="42"/>
      <c r="D10" s="44"/>
      <c r="E10" s="44"/>
      <c r="F10" s="44"/>
      <c r="G10" s="46">
        <f t="shared" ref="G10" si="2">SUM(D10:F10)</f>
        <v>0</v>
      </c>
      <c r="H10" s="56"/>
      <c r="I10" s="56"/>
      <c r="J10" s="56"/>
      <c r="K10" s="56"/>
      <c r="L10" s="56"/>
      <c r="M10" s="33"/>
      <c r="N10" s="33"/>
      <c r="O10" s="33"/>
      <c r="P10" s="33"/>
      <c r="Q10" s="31" t="s">
        <v>140</v>
      </c>
      <c r="R10" s="40"/>
      <c r="S10" s="40"/>
      <c r="T10" s="40"/>
    </row>
    <row r="11" spans="1:20" ht="15" customHeight="1" thickBot="1" x14ac:dyDescent="0.35">
      <c r="A11" s="59"/>
      <c r="B11" s="10" t="s">
        <v>122</v>
      </c>
      <c r="C11" s="43"/>
      <c r="D11" s="45"/>
      <c r="E11" s="45"/>
      <c r="F11" s="45"/>
      <c r="G11" s="43"/>
      <c r="H11" s="43"/>
      <c r="I11" s="43"/>
      <c r="J11" s="43"/>
      <c r="K11" s="43"/>
      <c r="L11" s="43"/>
      <c r="M11" s="34"/>
      <c r="N11" s="34"/>
      <c r="O11" s="34"/>
      <c r="P11" s="34"/>
      <c r="Q11" s="31"/>
      <c r="R11" s="41"/>
      <c r="S11" s="41"/>
      <c r="T11" s="41"/>
    </row>
    <row r="12" spans="1:20" ht="15" customHeight="1" x14ac:dyDescent="0.3">
      <c r="A12" s="57">
        <v>2</v>
      </c>
      <c r="B12" s="11" t="s">
        <v>77</v>
      </c>
      <c r="C12" s="42" t="s">
        <v>12</v>
      </c>
      <c r="D12" s="44">
        <v>84604</v>
      </c>
      <c r="E12" s="44">
        <v>88270</v>
      </c>
      <c r="F12" s="44">
        <v>86964</v>
      </c>
      <c r="G12" s="46">
        <f t="shared" ref="G12" si="3">SUM(D12:F12)</f>
        <v>259838</v>
      </c>
      <c r="H12" s="42">
        <f t="shared" ref="H12" si="4">SUM(G12:G16)</f>
        <v>259838</v>
      </c>
      <c r="I12" s="42">
        <v>451</v>
      </c>
      <c r="J12" s="42">
        <v>460</v>
      </c>
      <c r="K12" s="42">
        <v>464</v>
      </c>
      <c r="L12" s="42">
        <v>12</v>
      </c>
      <c r="M12" s="32">
        <f>(100*D12)/$T$3</f>
        <v>94.004444444444445</v>
      </c>
      <c r="N12" s="32">
        <f t="shared" ref="N12:O12" si="5">(100*E12)/$T$3</f>
        <v>98.077777777777783</v>
      </c>
      <c r="O12" s="32">
        <f t="shared" si="5"/>
        <v>96.626666666666665</v>
      </c>
      <c r="P12" s="32">
        <f>(H12*100)/$S$3</f>
        <v>96.236296296296302</v>
      </c>
      <c r="Q12" s="31" t="s">
        <v>127</v>
      </c>
      <c r="R12" s="39" t="s">
        <v>71</v>
      </c>
      <c r="S12" s="39" t="s">
        <v>148</v>
      </c>
      <c r="T12" s="39" t="s">
        <v>148</v>
      </c>
    </row>
    <row r="13" spans="1:20" ht="15" customHeight="1" thickBot="1" x14ac:dyDescent="0.35">
      <c r="A13" s="58"/>
      <c r="B13" s="11" t="s">
        <v>78</v>
      </c>
      <c r="C13" s="43"/>
      <c r="D13" s="45"/>
      <c r="E13" s="45"/>
      <c r="F13" s="45"/>
      <c r="G13" s="43"/>
      <c r="H13" s="56"/>
      <c r="I13" s="56"/>
      <c r="J13" s="56"/>
      <c r="K13" s="56"/>
      <c r="L13" s="56"/>
      <c r="M13" s="33"/>
      <c r="N13" s="33"/>
      <c r="O13" s="33"/>
      <c r="P13" s="33"/>
      <c r="Q13" s="31"/>
      <c r="R13" s="40"/>
      <c r="S13" s="40"/>
      <c r="T13" s="40"/>
    </row>
    <row r="14" spans="1:20" ht="15" customHeight="1" x14ac:dyDescent="0.3">
      <c r="A14" s="58"/>
      <c r="B14" s="11" t="s">
        <v>76</v>
      </c>
      <c r="C14" s="42"/>
      <c r="D14" s="44"/>
      <c r="E14" s="44"/>
      <c r="F14" s="44"/>
      <c r="G14" s="46">
        <f t="shared" ref="G14" si="6">SUM(D14:F14)</f>
        <v>0</v>
      </c>
      <c r="H14" s="56"/>
      <c r="I14" s="56"/>
      <c r="J14" s="56"/>
      <c r="K14" s="56"/>
      <c r="L14" s="56"/>
      <c r="M14" s="33"/>
      <c r="N14" s="33"/>
      <c r="O14" s="33"/>
      <c r="P14" s="33"/>
      <c r="Q14" s="31" t="s">
        <v>134</v>
      </c>
      <c r="R14" s="40"/>
      <c r="S14" s="40"/>
      <c r="T14" s="40"/>
    </row>
    <row r="15" spans="1:20" ht="15" customHeight="1" thickBot="1" x14ac:dyDescent="0.35">
      <c r="A15" s="58"/>
      <c r="B15" s="11" t="s">
        <v>120</v>
      </c>
      <c r="C15" s="43"/>
      <c r="D15" s="45"/>
      <c r="E15" s="45"/>
      <c r="F15" s="45"/>
      <c r="G15" s="43"/>
      <c r="H15" s="56"/>
      <c r="I15" s="56"/>
      <c r="J15" s="56"/>
      <c r="K15" s="56"/>
      <c r="L15" s="56"/>
      <c r="M15" s="33"/>
      <c r="N15" s="33"/>
      <c r="O15" s="33"/>
      <c r="P15" s="33"/>
      <c r="Q15" s="31"/>
      <c r="R15" s="40"/>
      <c r="S15" s="40"/>
      <c r="T15" s="40"/>
    </row>
    <row r="16" spans="1:20" ht="15" customHeight="1" x14ac:dyDescent="0.3">
      <c r="A16" s="58"/>
      <c r="B16" s="10" t="s">
        <v>121</v>
      </c>
      <c r="C16" s="42"/>
      <c r="D16" s="44"/>
      <c r="E16" s="44"/>
      <c r="F16" s="44"/>
      <c r="G16" s="46">
        <f t="shared" ref="G16" si="7">SUM(D16:F16)</f>
        <v>0</v>
      </c>
      <c r="H16" s="56"/>
      <c r="I16" s="56"/>
      <c r="J16" s="56"/>
      <c r="K16" s="56"/>
      <c r="L16" s="56"/>
      <c r="M16" s="33"/>
      <c r="N16" s="33"/>
      <c r="O16" s="33"/>
      <c r="P16" s="33"/>
      <c r="Q16" s="31" t="s">
        <v>141</v>
      </c>
      <c r="R16" s="40"/>
      <c r="S16" s="40"/>
      <c r="T16" s="40"/>
    </row>
    <row r="17" spans="1:20" ht="15" customHeight="1" thickBot="1" x14ac:dyDescent="0.35">
      <c r="A17" s="59"/>
      <c r="B17" s="10" t="s">
        <v>122</v>
      </c>
      <c r="C17" s="43"/>
      <c r="D17" s="45"/>
      <c r="E17" s="45"/>
      <c r="F17" s="45"/>
      <c r="G17" s="43"/>
      <c r="H17" s="43"/>
      <c r="I17" s="43"/>
      <c r="J17" s="43"/>
      <c r="K17" s="43"/>
      <c r="L17" s="43"/>
      <c r="M17" s="34"/>
      <c r="N17" s="34"/>
      <c r="O17" s="34"/>
      <c r="P17" s="34"/>
      <c r="Q17" s="31"/>
      <c r="R17" s="41"/>
      <c r="S17" s="41"/>
      <c r="T17" s="41"/>
    </row>
    <row r="18" spans="1:20" ht="15" customHeight="1" x14ac:dyDescent="0.3">
      <c r="A18" s="57">
        <v>3</v>
      </c>
      <c r="B18" s="11" t="s">
        <v>77</v>
      </c>
      <c r="C18" s="42" t="s">
        <v>12</v>
      </c>
      <c r="D18" s="44">
        <v>3102</v>
      </c>
      <c r="E18" s="44">
        <v>70388</v>
      </c>
      <c r="F18" s="44">
        <v>85774</v>
      </c>
      <c r="G18" s="46">
        <f t="shared" ref="G18" si="8">SUM(D18:F18)</f>
        <v>159264</v>
      </c>
      <c r="H18" s="42">
        <f t="shared" ref="H18" si="9">SUM(G18:G22)</f>
        <v>159264</v>
      </c>
      <c r="I18" s="42"/>
      <c r="J18" s="42"/>
      <c r="K18" s="42"/>
      <c r="L18" s="42"/>
      <c r="M18" s="32">
        <f t="shared" ref="M18:O18" si="10">(100*D18)/$T$3</f>
        <v>3.4466666666666668</v>
      </c>
      <c r="N18" s="32">
        <f t="shared" si="10"/>
        <v>78.208888888888893</v>
      </c>
      <c r="O18" s="32">
        <f t="shared" si="10"/>
        <v>95.304444444444442</v>
      </c>
      <c r="P18" s="32">
        <f t="shared" ref="P18" si="11">(H18*100)/$S$3</f>
        <v>58.986666666666665</v>
      </c>
      <c r="Q18" s="31" t="s">
        <v>128</v>
      </c>
      <c r="R18" s="39" t="s">
        <v>124</v>
      </c>
      <c r="S18" s="55" t="s">
        <v>136</v>
      </c>
      <c r="T18" s="39" t="s">
        <v>148</v>
      </c>
    </row>
    <row r="19" spans="1:20" ht="15" customHeight="1" thickBot="1" x14ac:dyDescent="0.35">
      <c r="A19" s="58"/>
      <c r="B19" s="11" t="s">
        <v>78</v>
      </c>
      <c r="C19" s="43"/>
      <c r="D19" s="45"/>
      <c r="E19" s="45"/>
      <c r="F19" s="45"/>
      <c r="G19" s="43"/>
      <c r="H19" s="56"/>
      <c r="I19" s="56"/>
      <c r="J19" s="56"/>
      <c r="K19" s="56"/>
      <c r="L19" s="56"/>
      <c r="M19" s="33"/>
      <c r="N19" s="33"/>
      <c r="O19" s="33"/>
      <c r="P19" s="33"/>
      <c r="Q19" s="31"/>
      <c r="R19" s="40"/>
      <c r="S19" s="40"/>
      <c r="T19" s="40"/>
    </row>
    <row r="20" spans="1:20" ht="15" customHeight="1" x14ac:dyDescent="0.3">
      <c r="A20" s="58"/>
      <c r="B20" s="11" t="s">
        <v>76</v>
      </c>
      <c r="C20" s="42"/>
      <c r="D20" s="44"/>
      <c r="E20" s="44"/>
      <c r="F20" s="44"/>
      <c r="G20" s="46">
        <f t="shared" ref="G20" si="12">SUM(D20:F20)</f>
        <v>0</v>
      </c>
      <c r="H20" s="56"/>
      <c r="I20" s="56"/>
      <c r="J20" s="56"/>
      <c r="K20" s="56"/>
      <c r="L20" s="56"/>
      <c r="M20" s="33"/>
      <c r="N20" s="33"/>
      <c r="O20" s="33"/>
      <c r="P20" s="33"/>
      <c r="Q20" s="31" t="s">
        <v>135</v>
      </c>
      <c r="R20" s="40"/>
      <c r="S20" s="40"/>
      <c r="T20" s="40"/>
    </row>
    <row r="21" spans="1:20" ht="15" customHeight="1" thickBot="1" x14ac:dyDescent="0.35">
      <c r="A21" s="58"/>
      <c r="B21" s="11" t="s">
        <v>120</v>
      </c>
      <c r="C21" s="43"/>
      <c r="D21" s="45"/>
      <c r="E21" s="45"/>
      <c r="F21" s="45"/>
      <c r="G21" s="43"/>
      <c r="H21" s="56"/>
      <c r="I21" s="56"/>
      <c r="J21" s="56"/>
      <c r="K21" s="56"/>
      <c r="L21" s="56"/>
      <c r="M21" s="33"/>
      <c r="N21" s="33"/>
      <c r="O21" s="33"/>
      <c r="P21" s="33"/>
      <c r="Q21" s="31"/>
      <c r="R21" s="40"/>
      <c r="S21" s="40"/>
      <c r="T21" s="40"/>
    </row>
    <row r="22" spans="1:20" ht="15" customHeight="1" x14ac:dyDescent="0.3">
      <c r="A22" s="58"/>
      <c r="B22" s="10" t="s">
        <v>121</v>
      </c>
      <c r="C22" s="42"/>
      <c r="D22" s="44"/>
      <c r="E22" s="44"/>
      <c r="F22" s="44"/>
      <c r="G22" s="46">
        <f t="shared" ref="G22" si="13">SUM(D22:F22)</f>
        <v>0</v>
      </c>
      <c r="H22" s="56"/>
      <c r="I22" s="56"/>
      <c r="J22" s="56"/>
      <c r="K22" s="56"/>
      <c r="L22" s="56"/>
      <c r="M22" s="33"/>
      <c r="N22" s="33"/>
      <c r="O22" s="33"/>
      <c r="P22" s="33"/>
      <c r="Q22" s="31" t="s">
        <v>142</v>
      </c>
      <c r="R22" s="40"/>
      <c r="S22" s="40"/>
      <c r="T22" s="40"/>
    </row>
    <row r="23" spans="1:20" ht="15" customHeight="1" thickBot="1" x14ac:dyDescent="0.35">
      <c r="A23" s="59"/>
      <c r="B23" s="10" t="s">
        <v>122</v>
      </c>
      <c r="C23" s="43"/>
      <c r="D23" s="45"/>
      <c r="E23" s="45"/>
      <c r="F23" s="45"/>
      <c r="G23" s="43"/>
      <c r="H23" s="43"/>
      <c r="I23" s="43"/>
      <c r="J23" s="43"/>
      <c r="K23" s="43"/>
      <c r="L23" s="43"/>
      <c r="M23" s="34"/>
      <c r="N23" s="34"/>
      <c r="O23" s="34"/>
      <c r="P23" s="34"/>
      <c r="Q23" s="31"/>
      <c r="R23" s="41"/>
      <c r="S23" s="41"/>
      <c r="T23" s="41"/>
    </row>
    <row r="24" spans="1:20" ht="15" customHeight="1" x14ac:dyDescent="0.3">
      <c r="A24" s="54">
        <v>4</v>
      </c>
      <c r="B24" s="11" t="s">
        <v>77</v>
      </c>
      <c r="C24" s="42" t="s">
        <v>12</v>
      </c>
      <c r="D24" s="44">
        <v>87573</v>
      </c>
      <c r="E24" s="44">
        <v>90039</v>
      </c>
      <c r="F24" s="44">
        <v>89647</v>
      </c>
      <c r="G24" s="46">
        <f t="shared" ref="G24" si="14">SUM(D24:F24)</f>
        <v>267259</v>
      </c>
      <c r="H24" s="43">
        <f>SUM(G24:G28)</f>
        <v>267259</v>
      </c>
      <c r="I24" s="53">
        <v>453</v>
      </c>
      <c r="J24" s="53">
        <v>455</v>
      </c>
      <c r="K24" s="53">
        <v>464</v>
      </c>
      <c r="L24" s="53"/>
      <c r="M24" s="34">
        <f t="shared" ref="M24:O24" si="15">(100*D24)/$T$3</f>
        <v>97.303333333333327</v>
      </c>
      <c r="N24" s="34">
        <f t="shared" si="15"/>
        <v>100.04333333333334</v>
      </c>
      <c r="O24" s="34">
        <f t="shared" si="15"/>
        <v>99.607777777777784</v>
      </c>
      <c r="P24" s="34">
        <f t="shared" ref="P24" si="16">(H24*100)/$S$3</f>
        <v>98.984814814814811</v>
      </c>
      <c r="Q24" s="31" t="s">
        <v>129</v>
      </c>
      <c r="R24" s="39" t="s">
        <v>148</v>
      </c>
      <c r="S24" s="39" t="s">
        <v>148</v>
      </c>
      <c r="T24" s="39" t="s">
        <v>148</v>
      </c>
    </row>
    <row r="25" spans="1:20" ht="15" customHeight="1" thickBot="1" x14ac:dyDescent="0.35">
      <c r="A25" s="54"/>
      <c r="B25" s="11" t="s">
        <v>78</v>
      </c>
      <c r="C25" s="43"/>
      <c r="D25" s="45"/>
      <c r="E25" s="45"/>
      <c r="F25" s="45"/>
      <c r="G25" s="43"/>
      <c r="H25" s="43"/>
      <c r="I25" s="53"/>
      <c r="J25" s="53"/>
      <c r="K25" s="53"/>
      <c r="L25" s="53"/>
      <c r="M25" s="34"/>
      <c r="N25" s="34"/>
      <c r="O25" s="34"/>
      <c r="P25" s="34"/>
      <c r="Q25" s="31"/>
      <c r="R25" s="40"/>
      <c r="S25" s="40"/>
      <c r="T25" s="40"/>
    </row>
    <row r="26" spans="1:20" ht="15" customHeight="1" x14ac:dyDescent="0.3">
      <c r="A26" s="54"/>
      <c r="B26" s="11" t="s">
        <v>76</v>
      </c>
      <c r="C26" s="42" t="s">
        <v>25</v>
      </c>
      <c r="D26" s="44"/>
      <c r="E26" s="44"/>
      <c r="F26" s="44"/>
      <c r="G26" s="46">
        <f t="shared" ref="G26" si="17">SUM(D26:F26)</f>
        <v>0</v>
      </c>
      <c r="H26" s="53"/>
      <c r="I26" s="53"/>
      <c r="J26" s="53"/>
      <c r="K26" s="53"/>
      <c r="L26" s="53"/>
      <c r="M26" s="49"/>
      <c r="N26" s="49"/>
      <c r="O26" s="49"/>
      <c r="P26" s="49"/>
      <c r="Q26" s="31" t="s">
        <v>137</v>
      </c>
      <c r="R26" s="40"/>
      <c r="S26" s="40"/>
      <c r="T26" s="40"/>
    </row>
    <row r="27" spans="1:20" ht="15" customHeight="1" thickBot="1" x14ac:dyDescent="0.35">
      <c r="A27" s="54"/>
      <c r="B27" s="11" t="s">
        <v>120</v>
      </c>
      <c r="C27" s="43"/>
      <c r="D27" s="45"/>
      <c r="E27" s="45"/>
      <c r="F27" s="45"/>
      <c r="G27" s="43"/>
      <c r="H27" s="53"/>
      <c r="I27" s="53"/>
      <c r="J27" s="53"/>
      <c r="K27" s="53"/>
      <c r="L27" s="53"/>
      <c r="M27" s="49"/>
      <c r="N27" s="49"/>
      <c r="O27" s="49"/>
      <c r="P27" s="49"/>
      <c r="Q27" s="31"/>
      <c r="R27" s="40"/>
      <c r="S27" s="40"/>
      <c r="T27" s="40"/>
    </row>
    <row r="28" spans="1:20" ht="15" customHeight="1" x14ac:dyDescent="0.3">
      <c r="A28" s="54"/>
      <c r="B28" s="10" t="s">
        <v>121</v>
      </c>
      <c r="C28" s="42" t="s">
        <v>37</v>
      </c>
      <c r="D28" s="44"/>
      <c r="E28" s="44"/>
      <c r="F28" s="44"/>
      <c r="G28" s="46">
        <f t="shared" ref="G28" si="18">SUM(D28:F28)</f>
        <v>0</v>
      </c>
      <c r="H28" s="53"/>
      <c r="I28" s="53"/>
      <c r="J28" s="53"/>
      <c r="K28" s="53"/>
      <c r="L28" s="53"/>
      <c r="M28" s="49"/>
      <c r="N28" s="49"/>
      <c r="O28" s="49"/>
      <c r="P28" s="49"/>
      <c r="Q28" s="31" t="s">
        <v>143</v>
      </c>
      <c r="R28" s="40"/>
      <c r="S28" s="40"/>
      <c r="T28" s="40"/>
    </row>
    <row r="29" spans="1:20" ht="15" customHeight="1" thickBot="1" x14ac:dyDescent="0.35">
      <c r="A29" s="54"/>
      <c r="B29" s="10" t="s">
        <v>122</v>
      </c>
      <c r="C29" s="43"/>
      <c r="D29" s="45"/>
      <c r="E29" s="45"/>
      <c r="F29" s="45"/>
      <c r="G29" s="43"/>
      <c r="H29" s="53"/>
      <c r="I29" s="53"/>
      <c r="J29" s="53"/>
      <c r="K29" s="53"/>
      <c r="L29" s="53"/>
      <c r="M29" s="49"/>
      <c r="N29" s="49"/>
      <c r="O29" s="49"/>
      <c r="P29" s="49"/>
      <c r="Q29" s="31"/>
      <c r="R29" s="41"/>
      <c r="S29" s="41"/>
      <c r="T29" s="41"/>
    </row>
    <row r="30" spans="1:20" ht="15" customHeight="1" x14ac:dyDescent="0.3">
      <c r="A30" s="54">
        <v>5</v>
      </c>
      <c r="B30" s="11" t="s">
        <v>77</v>
      </c>
      <c r="C30" s="42" t="s">
        <v>12</v>
      </c>
      <c r="D30" s="44"/>
      <c r="E30" s="44"/>
      <c r="F30" s="44"/>
      <c r="G30" s="46">
        <f t="shared" ref="G30" si="19">SUM(D30:F30)</f>
        <v>0</v>
      </c>
      <c r="H30" s="43">
        <f>SUM(G30:G34)</f>
        <v>274903</v>
      </c>
      <c r="I30" s="53">
        <v>455</v>
      </c>
      <c r="J30" s="53">
        <v>450</v>
      </c>
      <c r="K30" s="53">
        <v>465</v>
      </c>
      <c r="L30" s="53"/>
      <c r="M30" s="34">
        <f t="shared" ref="M30:O30" si="20">(100*D30)/$T$3</f>
        <v>0</v>
      </c>
      <c r="N30" s="34">
        <f t="shared" si="20"/>
        <v>0</v>
      </c>
      <c r="O30" s="34">
        <f t="shared" si="20"/>
        <v>0</v>
      </c>
      <c r="P30" s="34">
        <f t="shared" ref="P30" si="21">(H30*100)/$S$3</f>
        <v>101.81592592592592</v>
      </c>
      <c r="Q30" s="31" t="s">
        <v>130</v>
      </c>
      <c r="R30" s="39" t="s">
        <v>148</v>
      </c>
      <c r="S30" s="39" t="s">
        <v>148</v>
      </c>
      <c r="T30" s="39" t="s">
        <v>148</v>
      </c>
    </row>
    <row r="31" spans="1:20" ht="15" customHeight="1" thickBot="1" x14ac:dyDescent="0.35">
      <c r="A31" s="54"/>
      <c r="B31" s="11" t="s">
        <v>78</v>
      </c>
      <c r="C31" s="43"/>
      <c r="D31" s="45"/>
      <c r="E31" s="45"/>
      <c r="F31" s="45"/>
      <c r="G31" s="43"/>
      <c r="H31" s="43"/>
      <c r="I31" s="53"/>
      <c r="J31" s="53"/>
      <c r="K31" s="53"/>
      <c r="L31" s="53"/>
      <c r="M31" s="34"/>
      <c r="N31" s="34"/>
      <c r="O31" s="34"/>
      <c r="P31" s="34"/>
      <c r="Q31" s="31"/>
      <c r="R31" s="40"/>
      <c r="S31" s="40"/>
      <c r="T31" s="40"/>
    </row>
    <row r="32" spans="1:20" ht="15" customHeight="1" x14ac:dyDescent="0.3">
      <c r="A32" s="54"/>
      <c r="B32" s="11" t="s">
        <v>76</v>
      </c>
      <c r="C32" s="42" t="s">
        <v>25</v>
      </c>
      <c r="D32" s="44"/>
      <c r="E32" s="44"/>
      <c r="F32" s="44"/>
      <c r="G32" s="46">
        <f t="shared" ref="G32" si="22">SUM(D32:F32)</f>
        <v>0</v>
      </c>
      <c r="H32" s="53"/>
      <c r="I32" s="53"/>
      <c r="J32" s="53"/>
      <c r="K32" s="53"/>
      <c r="L32" s="53"/>
      <c r="M32" s="49"/>
      <c r="N32" s="49"/>
      <c r="O32" s="49"/>
      <c r="P32" s="49"/>
      <c r="Q32" s="31" t="s">
        <v>138</v>
      </c>
      <c r="R32" s="40"/>
      <c r="S32" s="40"/>
      <c r="T32" s="40"/>
    </row>
    <row r="33" spans="1:20" ht="15" customHeight="1" thickBot="1" x14ac:dyDescent="0.35">
      <c r="A33" s="54"/>
      <c r="B33" s="11" t="s">
        <v>120</v>
      </c>
      <c r="C33" s="43"/>
      <c r="D33" s="45"/>
      <c r="E33" s="45"/>
      <c r="F33" s="45"/>
      <c r="G33" s="43"/>
      <c r="H33" s="53"/>
      <c r="I33" s="53"/>
      <c r="J33" s="53"/>
      <c r="K33" s="53"/>
      <c r="L33" s="53"/>
      <c r="M33" s="49"/>
      <c r="N33" s="49"/>
      <c r="O33" s="49"/>
      <c r="P33" s="49"/>
      <c r="Q33" s="31"/>
      <c r="R33" s="40"/>
      <c r="S33" s="40"/>
      <c r="T33" s="40"/>
    </row>
    <row r="34" spans="1:20" ht="15" customHeight="1" x14ac:dyDescent="0.3">
      <c r="A34" s="54"/>
      <c r="B34" s="10" t="s">
        <v>121</v>
      </c>
      <c r="C34" s="42" t="s">
        <v>37</v>
      </c>
      <c r="D34" s="44">
        <v>90557</v>
      </c>
      <c r="E34" s="44">
        <v>91710</v>
      </c>
      <c r="F34" s="44">
        <v>92636</v>
      </c>
      <c r="G34" s="46">
        <f t="shared" ref="G34" si="23">SUM(D34:F34)</f>
        <v>274903</v>
      </c>
      <c r="H34" s="53"/>
      <c r="I34" s="53"/>
      <c r="J34" s="53"/>
      <c r="K34" s="53"/>
      <c r="L34" s="53"/>
      <c r="M34" s="49"/>
      <c r="N34" s="49"/>
      <c r="O34" s="49"/>
      <c r="P34" s="49"/>
      <c r="Q34" s="31" t="s">
        <v>144</v>
      </c>
      <c r="R34" s="40"/>
      <c r="S34" s="40"/>
      <c r="T34" s="40"/>
    </row>
    <row r="35" spans="1:20" ht="15" customHeight="1" thickBot="1" x14ac:dyDescent="0.35">
      <c r="A35" s="54"/>
      <c r="B35" s="10" t="s">
        <v>122</v>
      </c>
      <c r="C35" s="43"/>
      <c r="D35" s="45"/>
      <c r="E35" s="45"/>
      <c r="F35" s="45"/>
      <c r="G35" s="43"/>
      <c r="H35" s="53"/>
      <c r="I35" s="53"/>
      <c r="J35" s="53"/>
      <c r="K35" s="53"/>
      <c r="L35" s="53"/>
      <c r="M35" s="49"/>
      <c r="N35" s="49"/>
      <c r="O35" s="49"/>
      <c r="P35" s="49"/>
      <c r="Q35" s="31"/>
      <c r="R35" s="41"/>
      <c r="S35" s="41"/>
      <c r="T35" s="41"/>
    </row>
    <row r="36" spans="1:20" ht="15" customHeight="1" x14ac:dyDescent="0.3">
      <c r="A36" s="54">
        <v>6</v>
      </c>
      <c r="B36" s="11" t="s">
        <v>77</v>
      </c>
      <c r="C36" s="42" t="s">
        <v>27</v>
      </c>
      <c r="D36" s="44">
        <v>81004</v>
      </c>
      <c r="E36" s="44">
        <v>2426</v>
      </c>
      <c r="F36" s="44">
        <v>46971</v>
      </c>
      <c r="G36" s="46">
        <f t="shared" ref="G36" si="24">SUM(D36:F36)</f>
        <v>130401</v>
      </c>
      <c r="H36" s="43">
        <f>SUM(G36:G40)</f>
        <v>130401</v>
      </c>
      <c r="I36" s="53">
        <v>428</v>
      </c>
      <c r="J36" s="53">
        <v>12</v>
      </c>
      <c r="K36" s="53">
        <v>248</v>
      </c>
      <c r="L36" s="53"/>
      <c r="M36" s="34">
        <f t="shared" ref="M36:O36" si="25">(100*D36)/$T$3</f>
        <v>90.004444444444445</v>
      </c>
      <c r="N36" s="34">
        <f t="shared" si="25"/>
        <v>2.6955555555555555</v>
      </c>
      <c r="O36" s="34">
        <f t="shared" si="25"/>
        <v>52.19</v>
      </c>
      <c r="P36" s="34">
        <f t="shared" ref="P36" si="26">(H36*100)/$S$3</f>
        <v>48.296666666666667</v>
      </c>
      <c r="Q36" s="31" t="s">
        <v>131</v>
      </c>
      <c r="R36" s="39" t="s">
        <v>125</v>
      </c>
      <c r="S36" s="50" t="s">
        <v>139</v>
      </c>
      <c r="T36" s="39" t="s">
        <v>146</v>
      </c>
    </row>
    <row r="37" spans="1:20" ht="15" customHeight="1" thickBot="1" x14ac:dyDescent="0.35">
      <c r="A37" s="54"/>
      <c r="B37" s="11" t="s">
        <v>78</v>
      </c>
      <c r="C37" s="43"/>
      <c r="D37" s="45"/>
      <c r="E37" s="45"/>
      <c r="F37" s="45"/>
      <c r="G37" s="43"/>
      <c r="H37" s="43"/>
      <c r="I37" s="53"/>
      <c r="J37" s="53"/>
      <c r="K37" s="53"/>
      <c r="L37" s="53"/>
      <c r="M37" s="34"/>
      <c r="N37" s="34"/>
      <c r="O37" s="34"/>
      <c r="P37" s="34"/>
      <c r="Q37" s="31"/>
      <c r="R37" s="40"/>
      <c r="S37" s="50"/>
      <c r="T37" s="40"/>
    </row>
    <row r="38" spans="1:20" ht="15" customHeight="1" x14ac:dyDescent="0.3">
      <c r="A38" s="54"/>
      <c r="B38" s="11" t="s">
        <v>76</v>
      </c>
      <c r="C38" s="42"/>
      <c r="D38" s="44"/>
      <c r="E38" s="44"/>
      <c r="F38" s="44"/>
      <c r="G38" s="46">
        <f t="shared" ref="G38" si="27">SUM(D38:F38)</f>
        <v>0</v>
      </c>
      <c r="H38" s="43"/>
      <c r="I38" s="53"/>
      <c r="J38" s="53"/>
      <c r="K38" s="53"/>
      <c r="L38" s="53"/>
      <c r="M38" s="34"/>
      <c r="N38" s="34"/>
      <c r="O38" s="34"/>
      <c r="P38" s="34"/>
      <c r="Q38" s="31"/>
      <c r="R38" s="40"/>
      <c r="S38" s="50"/>
      <c r="T38" s="40"/>
    </row>
    <row r="39" spans="1:20" ht="15" customHeight="1" thickBot="1" x14ac:dyDescent="0.35">
      <c r="A39" s="54"/>
      <c r="B39" s="11" t="s">
        <v>120</v>
      </c>
      <c r="C39" s="43"/>
      <c r="D39" s="45"/>
      <c r="E39" s="45"/>
      <c r="F39" s="45"/>
      <c r="G39" s="43"/>
      <c r="H39" s="53"/>
      <c r="I39" s="53"/>
      <c r="J39" s="53"/>
      <c r="K39" s="53"/>
      <c r="L39" s="53"/>
      <c r="M39" s="49"/>
      <c r="N39" s="49"/>
      <c r="O39" s="49"/>
      <c r="P39" s="49"/>
      <c r="Q39" s="31"/>
      <c r="R39" s="40"/>
      <c r="S39" s="51"/>
      <c r="T39" s="40"/>
    </row>
    <row r="40" spans="1:20" ht="15" customHeight="1" x14ac:dyDescent="0.3">
      <c r="A40" s="54"/>
      <c r="B40" s="10" t="s">
        <v>121</v>
      </c>
      <c r="C40" s="42"/>
      <c r="D40" s="44"/>
      <c r="E40" s="44"/>
      <c r="F40" s="44"/>
      <c r="G40" s="46">
        <f t="shared" ref="G40" si="28">SUM(D40:F40)</f>
        <v>0</v>
      </c>
      <c r="H40" s="53"/>
      <c r="I40" s="53"/>
      <c r="J40" s="53"/>
      <c r="K40" s="53"/>
      <c r="L40" s="53"/>
      <c r="M40" s="49"/>
      <c r="N40" s="49"/>
      <c r="O40" s="49"/>
      <c r="P40" s="49"/>
      <c r="Q40" s="31" t="s">
        <v>145</v>
      </c>
      <c r="R40" s="40"/>
      <c r="S40" s="51"/>
      <c r="T40" s="40"/>
    </row>
    <row r="41" spans="1:20" ht="15" customHeight="1" thickBot="1" x14ac:dyDescent="0.35">
      <c r="A41" s="54"/>
      <c r="B41" s="10" t="s">
        <v>122</v>
      </c>
      <c r="C41" s="43"/>
      <c r="D41" s="45"/>
      <c r="E41" s="45"/>
      <c r="F41" s="45"/>
      <c r="G41" s="43"/>
      <c r="H41" s="53"/>
      <c r="I41" s="53"/>
      <c r="J41" s="53"/>
      <c r="K41" s="53"/>
      <c r="L41" s="53"/>
      <c r="M41" s="49"/>
      <c r="N41" s="49"/>
      <c r="O41" s="49"/>
      <c r="P41" s="49"/>
      <c r="Q41" s="31"/>
      <c r="R41" s="41"/>
      <c r="S41" s="51"/>
      <c r="T41" s="41"/>
    </row>
    <row r="42" spans="1:20" ht="15" customHeight="1" x14ac:dyDescent="0.3">
      <c r="A42" s="54">
        <v>7</v>
      </c>
      <c r="B42" s="11" t="s">
        <v>77</v>
      </c>
      <c r="C42" s="42" t="s">
        <v>13</v>
      </c>
      <c r="D42" s="44">
        <v>84140</v>
      </c>
      <c r="E42" s="44">
        <v>3833</v>
      </c>
      <c r="F42" s="44">
        <v>56023</v>
      </c>
      <c r="G42" s="46">
        <f t="shared" ref="G42" si="29">SUM(D42:F42)</f>
        <v>143996</v>
      </c>
      <c r="H42" s="43">
        <f>SUM(G42:G46)</f>
        <v>143996</v>
      </c>
      <c r="I42" s="53">
        <v>455</v>
      </c>
      <c r="J42" s="53">
        <v>15</v>
      </c>
      <c r="K42" s="53">
        <v>303</v>
      </c>
      <c r="L42" s="53"/>
      <c r="M42" s="34">
        <f t="shared" ref="M42:O42" si="30">(100*D42)/$T$3</f>
        <v>93.488888888888894</v>
      </c>
      <c r="N42" s="34">
        <f t="shared" si="30"/>
        <v>4.2588888888888885</v>
      </c>
      <c r="O42" s="34">
        <f t="shared" si="30"/>
        <v>62.247777777777777</v>
      </c>
      <c r="P42" s="34">
        <f>(H42*100)/$S$3</f>
        <v>53.331851851851852</v>
      </c>
      <c r="Q42" s="52" t="s">
        <v>132</v>
      </c>
      <c r="R42" s="39" t="s">
        <v>148</v>
      </c>
      <c r="S42" s="50" t="s">
        <v>139</v>
      </c>
      <c r="T42" s="39" t="s">
        <v>147</v>
      </c>
    </row>
    <row r="43" spans="1:20" ht="15" customHeight="1" thickBot="1" x14ac:dyDescent="0.35">
      <c r="A43" s="54"/>
      <c r="B43" s="11" t="s">
        <v>78</v>
      </c>
      <c r="C43" s="43"/>
      <c r="D43" s="45"/>
      <c r="E43" s="45"/>
      <c r="F43" s="45"/>
      <c r="G43" s="43"/>
      <c r="H43" s="43"/>
      <c r="I43" s="53"/>
      <c r="J43" s="53"/>
      <c r="K43" s="53"/>
      <c r="L43" s="53"/>
      <c r="M43" s="34"/>
      <c r="N43" s="34"/>
      <c r="O43" s="34"/>
      <c r="P43" s="34"/>
      <c r="Q43" s="52"/>
      <c r="R43" s="40"/>
      <c r="S43" s="50"/>
      <c r="T43" s="40"/>
    </row>
    <row r="44" spans="1:20" ht="15" customHeight="1" x14ac:dyDescent="0.3">
      <c r="A44" s="54"/>
      <c r="B44" s="11" t="s">
        <v>76</v>
      </c>
      <c r="C44" s="42"/>
      <c r="D44" s="44"/>
      <c r="E44" s="44"/>
      <c r="F44" s="44"/>
      <c r="G44" s="46">
        <f t="shared" ref="G44" si="31">SUM(D44:F44)</f>
        <v>0</v>
      </c>
      <c r="H44" s="53"/>
      <c r="I44" s="53"/>
      <c r="J44" s="53"/>
      <c r="K44" s="53"/>
      <c r="L44" s="53"/>
      <c r="M44" s="49"/>
      <c r="N44" s="49"/>
      <c r="O44" s="49"/>
      <c r="P44" s="49"/>
      <c r="Q44" s="31"/>
      <c r="R44" s="40"/>
      <c r="S44" s="50"/>
      <c r="T44" s="40"/>
    </row>
    <row r="45" spans="1:20" ht="15" customHeight="1" thickBot="1" x14ac:dyDescent="0.35">
      <c r="A45" s="54"/>
      <c r="B45" s="11" t="s">
        <v>120</v>
      </c>
      <c r="C45" s="43"/>
      <c r="D45" s="45"/>
      <c r="E45" s="45"/>
      <c r="F45" s="45"/>
      <c r="G45" s="43"/>
      <c r="H45" s="42"/>
      <c r="I45" s="53"/>
      <c r="J45" s="53"/>
      <c r="K45" s="53"/>
      <c r="L45" s="53"/>
      <c r="M45" s="49"/>
      <c r="N45" s="49"/>
      <c r="O45" s="49"/>
      <c r="P45" s="49"/>
      <c r="Q45" s="31"/>
      <c r="R45" s="40"/>
      <c r="S45" s="51"/>
      <c r="T45" s="40"/>
    </row>
    <row r="46" spans="1:20" ht="15" customHeight="1" x14ac:dyDescent="0.3">
      <c r="A46" s="54"/>
      <c r="B46" s="10" t="s">
        <v>121</v>
      </c>
      <c r="C46" s="42"/>
      <c r="D46" s="44"/>
      <c r="E46" s="44"/>
      <c r="F46" s="44"/>
      <c r="G46" s="46">
        <f t="shared" ref="G46" si="32">SUM(D46:F46)</f>
        <v>0</v>
      </c>
      <c r="H46" s="42"/>
      <c r="I46" s="53"/>
      <c r="J46" s="53"/>
      <c r="K46" s="53"/>
      <c r="L46" s="53"/>
      <c r="M46" s="49"/>
      <c r="N46" s="49"/>
      <c r="O46" s="49"/>
      <c r="P46" s="49"/>
      <c r="Q46" s="52" t="s">
        <v>149</v>
      </c>
      <c r="R46" s="40"/>
      <c r="S46" s="51"/>
      <c r="T46" s="40"/>
    </row>
    <row r="47" spans="1:20" ht="15" customHeight="1" thickBot="1" x14ac:dyDescent="0.35">
      <c r="A47" s="54"/>
      <c r="B47" s="10" t="s">
        <v>122</v>
      </c>
      <c r="C47" s="47"/>
      <c r="D47" s="48"/>
      <c r="E47" s="48"/>
      <c r="F47" s="48"/>
      <c r="G47" s="43"/>
      <c r="H47" s="42"/>
      <c r="I47" s="53"/>
      <c r="J47" s="53"/>
      <c r="K47" s="53"/>
      <c r="L47" s="53"/>
      <c r="M47" s="49"/>
      <c r="N47" s="49"/>
      <c r="O47" s="49"/>
      <c r="P47" s="49"/>
      <c r="Q47" s="52"/>
      <c r="R47" s="41"/>
      <c r="S47" s="51"/>
      <c r="T47" s="41"/>
    </row>
    <row r="48" spans="1:20" ht="15" thickBot="1" x14ac:dyDescent="0.35">
      <c r="C48" s="35" t="s">
        <v>23</v>
      </c>
      <c r="D48" s="37">
        <f>SUM(D6:D47)</f>
        <v>518074</v>
      </c>
      <c r="E48" s="37">
        <f>SUM(E6:E47)</f>
        <v>435784</v>
      </c>
      <c r="F48" s="37">
        <f>SUM(F6:F47)</f>
        <v>544125</v>
      </c>
      <c r="G48" s="37">
        <f>SUM(G6:G46)</f>
        <v>1497983</v>
      </c>
      <c r="H48" s="37">
        <f>SUM(H6:H47)</f>
        <v>1497983</v>
      </c>
    </row>
    <row r="49" spans="3:17" ht="15" thickBot="1" x14ac:dyDescent="0.35">
      <c r="C49" s="36"/>
      <c r="D49" s="38"/>
      <c r="E49" s="38"/>
      <c r="F49" s="38"/>
      <c r="G49" s="38"/>
      <c r="H49" s="38"/>
      <c r="J49" s="18" t="s">
        <v>61</v>
      </c>
      <c r="K49" s="18" t="s">
        <v>62</v>
      </c>
      <c r="L49" s="27" t="s">
        <v>63</v>
      </c>
      <c r="M49" s="28"/>
      <c r="N49" s="18" t="s">
        <v>62</v>
      </c>
      <c r="O49" s="18" t="s">
        <v>64</v>
      </c>
      <c r="P49" s="18" t="s">
        <v>62</v>
      </c>
      <c r="Q49" s="22"/>
    </row>
    <row r="50" spans="3:17" x14ac:dyDescent="0.3">
      <c r="J50" s="19">
        <v>3</v>
      </c>
      <c r="K50" s="19" t="s">
        <v>108</v>
      </c>
      <c r="L50" s="29">
        <v>6</v>
      </c>
      <c r="M50" s="30"/>
      <c r="N50" s="19" t="s">
        <v>109</v>
      </c>
      <c r="O50" s="19">
        <v>6</v>
      </c>
      <c r="P50" s="19" t="s">
        <v>65</v>
      </c>
      <c r="Q50" s="23"/>
    </row>
    <row r="51" spans="3:17" x14ac:dyDescent="0.3">
      <c r="J51" s="19"/>
      <c r="K51" s="19"/>
      <c r="L51" s="29">
        <v>7</v>
      </c>
      <c r="M51" s="30"/>
      <c r="N51" s="19" t="s">
        <v>109</v>
      </c>
      <c r="O51" s="19">
        <v>7</v>
      </c>
      <c r="P51" s="19" t="s">
        <v>65</v>
      </c>
      <c r="Q51" s="23"/>
    </row>
    <row r="52" spans="3:17" x14ac:dyDescent="0.3">
      <c r="J52" s="19"/>
      <c r="K52" s="19"/>
      <c r="L52" s="29"/>
      <c r="M52" s="30"/>
      <c r="N52" s="19"/>
      <c r="O52" s="19"/>
      <c r="P52" s="19"/>
      <c r="Q52" s="24"/>
    </row>
    <row r="53" spans="3:17" x14ac:dyDescent="0.3">
      <c r="J53" s="19"/>
      <c r="K53" s="19"/>
      <c r="L53" s="29"/>
      <c r="M53" s="30"/>
      <c r="N53" s="19"/>
      <c r="O53" s="19"/>
      <c r="P53" s="19"/>
      <c r="Q53" s="24"/>
    </row>
    <row r="54" spans="3:17" x14ac:dyDescent="0.3">
      <c r="Q54" s="25"/>
    </row>
    <row r="64" spans="3:17" x14ac:dyDescent="0.3">
      <c r="I64" t="s">
        <v>74</v>
      </c>
      <c r="J64" t="s">
        <v>108</v>
      </c>
      <c r="K64" t="s">
        <v>109</v>
      </c>
      <c r="M64" t="s">
        <v>65</v>
      </c>
      <c r="O64" t="s">
        <v>110</v>
      </c>
    </row>
  </sheetData>
  <mergeCells count="242">
    <mergeCell ref="L49:M49"/>
    <mergeCell ref="L50:M50"/>
    <mergeCell ref="L51:M51"/>
    <mergeCell ref="L52:M52"/>
    <mergeCell ref="L53:M53"/>
    <mergeCell ref="C48:C49"/>
    <mergeCell ref="D48:D49"/>
    <mergeCell ref="E48:E49"/>
    <mergeCell ref="F48:F49"/>
    <mergeCell ref="G48:G49"/>
    <mergeCell ref="H48:H49"/>
    <mergeCell ref="T42:T47"/>
    <mergeCell ref="C44:C45"/>
    <mergeCell ref="D44:D45"/>
    <mergeCell ref="E44:E45"/>
    <mergeCell ref="F44:F45"/>
    <mergeCell ref="G44:G45"/>
    <mergeCell ref="Q44:Q45"/>
    <mergeCell ref="C46:C47"/>
    <mergeCell ref="D46:D47"/>
    <mergeCell ref="E46:E47"/>
    <mergeCell ref="N42:N47"/>
    <mergeCell ref="O42:O47"/>
    <mergeCell ref="P42:P47"/>
    <mergeCell ref="Q42:Q43"/>
    <mergeCell ref="R42:R47"/>
    <mergeCell ref="S42:S47"/>
    <mergeCell ref="Q46:Q47"/>
    <mergeCell ref="H42:H47"/>
    <mergeCell ref="I42:I47"/>
    <mergeCell ref="J42:J47"/>
    <mergeCell ref="K42:K47"/>
    <mergeCell ref="L42:L47"/>
    <mergeCell ref="M42:M47"/>
    <mergeCell ref="A42:A47"/>
    <mergeCell ref="C42:C43"/>
    <mergeCell ref="D42:D43"/>
    <mergeCell ref="E42:E43"/>
    <mergeCell ref="F42:F43"/>
    <mergeCell ref="G42:G43"/>
    <mergeCell ref="F46:F47"/>
    <mergeCell ref="G46:G47"/>
    <mergeCell ref="T36:T41"/>
    <mergeCell ref="C38:C39"/>
    <mergeCell ref="D38:D39"/>
    <mergeCell ref="E38:E39"/>
    <mergeCell ref="F38:F39"/>
    <mergeCell ref="G38:G39"/>
    <mergeCell ref="Q38:Q39"/>
    <mergeCell ref="C40:C41"/>
    <mergeCell ref="D40:D41"/>
    <mergeCell ref="E40:E41"/>
    <mergeCell ref="N36:N41"/>
    <mergeCell ref="O36:O41"/>
    <mergeCell ref="P36:P41"/>
    <mergeCell ref="Q36:Q37"/>
    <mergeCell ref="R36:R41"/>
    <mergeCell ref="S36:S41"/>
    <mergeCell ref="Q40:Q41"/>
    <mergeCell ref="H36:H41"/>
    <mergeCell ref="I36:I41"/>
    <mergeCell ref="J36:J41"/>
    <mergeCell ref="K36:K41"/>
    <mergeCell ref="L36:L41"/>
    <mergeCell ref="M36:M41"/>
    <mergeCell ref="A36:A41"/>
    <mergeCell ref="C36:C37"/>
    <mergeCell ref="D36:D37"/>
    <mergeCell ref="E36:E37"/>
    <mergeCell ref="F36:F37"/>
    <mergeCell ref="G36:G37"/>
    <mergeCell ref="F40:F41"/>
    <mergeCell ref="G40:G41"/>
    <mergeCell ref="T30:T35"/>
    <mergeCell ref="C32:C33"/>
    <mergeCell ref="D32:D33"/>
    <mergeCell ref="E32:E33"/>
    <mergeCell ref="F32:F33"/>
    <mergeCell ref="G32:G33"/>
    <mergeCell ref="Q32:Q33"/>
    <mergeCell ref="C34:C35"/>
    <mergeCell ref="D34:D35"/>
    <mergeCell ref="E34:E35"/>
    <mergeCell ref="N30:N35"/>
    <mergeCell ref="O30:O35"/>
    <mergeCell ref="P30:P35"/>
    <mergeCell ref="Q30:Q31"/>
    <mergeCell ref="R30:R35"/>
    <mergeCell ref="S30:S35"/>
    <mergeCell ref="Q34:Q35"/>
    <mergeCell ref="H30:H35"/>
    <mergeCell ref="I30:I35"/>
    <mergeCell ref="J30:J35"/>
    <mergeCell ref="K30:K35"/>
    <mergeCell ref="L30:L35"/>
    <mergeCell ref="M30:M35"/>
    <mergeCell ref="A30:A35"/>
    <mergeCell ref="C30:C31"/>
    <mergeCell ref="D30:D31"/>
    <mergeCell ref="E30:E31"/>
    <mergeCell ref="F30:F31"/>
    <mergeCell ref="G30:G31"/>
    <mergeCell ref="F34:F35"/>
    <mergeCell ref="G34:G35"/>
    <mergeCell ref="T24:T29"/>
    <mergeCell ref="C26:C27"/>
    <mergeCell ref="D26:D27"/>
    <mergeCell ref="E26:E27"/>
    <mergeCell ref="F26:F27"/>
    <mergeCell ref="G26:G27"/>
    <mergeCell ref="Q26:Q27"/>
    <mergeCell ref="C28:C29"/>
    <mergeCell ref="D28:D29"/>
    <mergeCell ref="E28:E29"/>
    <mergeCell ref="N24:N29"/>
    <mergeCell ref="O24:O29"/>
    <mergeCell ref="P24:P29"/>
    <mergeCell ref="Q24:Q25"/>
    <mergeCell ref="R24:R29"/>
    <mergeCell ref="S24:S29"/>
    <mergeCell ref="Q28:Q29"/>
    <mergeCell ref="H24:H29"/>
    <mergeCell ref="I24:I29"/>
    <mergeCell ref="J24:J29"/>
    <mergeCell ref="K24:K29"/>
    <mergeCell ref="L24:L29"/>
    <mergeCell ref="M24:M29"/>
    <mergeCell ref="A24:A29"/>
    <mergeCell ref="C24:C25"/>
    <mergeCell ref="D24:D25"/>
    <mergeCell ref="E24:E25"/>
    <mergeCell ref="F24:F25"/>
    <mergeCell ref="G24:G25"/>
    <mergeCell ref="F28:F29"/>
    <mergeCell ref="G28:G29"/>
    <mergeCell ref="T18:T23"/>
    <mergeCell ref="C20:C21"/>
    <mergeCell ref="D20:D21"/>
    <mergeCell ref="E20:E21"/>
    <mergeCell ref="F20:F21"/>
    <mergeCell ref="G20:G21"/>
    <mergeCell ref="Q20:Q21"/>
    <mergeCell ref="C22:C23"/>
    <mergeCell ref="D22:D23"/>
    <mergeCell ref="E22:E23"/>
    <mergeCell ref="N18:N23"/>
    <mergeCell ref="O18:O23"/>
    <mergeCell ref="P18:P23"/>
    <mergeCell ref="Q18:Q19"/>
    <mergeCell ref="R18:R23"/>
    <mergeCell ref="S18:S23"/>
    <mergeCell ref="Q22:Q23"/>
    <mergeCell ref="H18:H23"/>
    <mergeCell ref="I18:I23"/>
    <mergeCell ref="J18:J23"/>
    <mergeCell ref="K18:K23"/>
    <mergeCell ref="L18:L23"/>
    <mergeCell ref="M18:M23"/>
    <mergeCell ref="A18:A23"/>
    <mergeCell ref="C18:C19"/>
    <mergeCell ref="D18:D19"/>
    <mergeCell ref="E18:E19"/>
    <mergeCell ref="F18:F19"/>
    <mergeCell ref="G18:G19"/>
    <mergeCell ref="F22:F23"/>
    <mergeCell ref="G22:G23"/>
    <mergeCell ref="C16:C17"/>
    <mergeCell ref="D16:D17"/>
    <mergeCell ref="E16:E17"/>
    <mergeCell ref="F16:F17"/>
    <mergeCell ref="G16:G17"/>
    <mergeCell ref="Q16:Q17"/>
    <mergeCell ref="C14:C15"/>
    <mergeCell ref="D14:D15"/>
    <mergeCell ref="E14:E15"/>
    <mergeCell ref="F14:F15"/>
    <mergeCell ref="G14:G15"/>
    <mergeCell ref="Q14:Q15"/>
    <mergeCell ref="O12:O17"/>
    <mergeCell ref="P12:P17"/>
    <mergeCell ref="Q12:Q13"/>
    <mergeCell ref="R12:R17"/>
    <mergeCell ref="S12:S17"/>
    <mergeCell ref="T12:T17"/>
    <mergeCell ref="I12:I17"/>
    <mergeCell ref="J12:J17"/>
    <mergeCell ref="K12:K17"/>
    <mergeCell ref="L12:L17"/>
    <mergeCell ref="M12:M17"/>
    <mergeCell ref="N12:N17"/>
    <mergeCell ref="F10:F11"/>
    <mergeCell ref="G10:G11"/>
    <mergeCell ref="Q10:Q11"/>
    <mergeCell ref="A12:A17"/>
    <mergeCell ref="C12:C13"/>
    <mergeCell ref="D12:D13"/>
    <mergeCell ref="E12:E13"/>
    <mergeCell ref="F12:F13"/>
    <mergeCell ref="G12:G13"/>
    <mergeCell ref="H12:H17"/>
    <mergeCell ref="T6:T11"/>
    <mergeCell ref="C8:C9"/>
    <mergeCell ref="D8:D9"/>
    <mergeCell ref="E8:E9"/>
    <mergeCell ref="F8:F9"/>
    <mergeCell ref="G8:G9"/>
    <mergeCell ref="Q8:Q9"/>
    <mergeCell ref="C10:C11"/>
    <mergeCell ref="D10:D11"/>
    <mergeCell ref="E10:E11"/>
    <mergeCell ref="N6:N11"/>
    <mergeCell ref="O6:O11"/>
    <mergeCell ref="P6:P11"/>
    <mergeCell ref="Q6:Q7"/>
    <mergeCell ref="R6:R11"/>
    <mergeCell ref="S6:S11"/>
    <mergeCell ref="H6:H11"/>
    <mergeCell ref="I6:I11"/>
    <mergeCell ref="J6:J11"/>
    <mergeCell ref="K6:K11"/>
    <mergeCell ref="L6:L11"/>
    <mergeCell ref="M6:M11"/>
    <mergeCell ref="L4:L5"/>
    <mergeCell ref="M4:P4"/>
    <mergeCell ref="Q4:Q5"/>
    <mergeCell ref="R4:T4"/>
    <mergeCell ref="A6:A11"/>
    <mergeCell ref="C6:C7"/>
    <mergeCell ref="D6:D7"/>
    <mergeCell ref="E6:E7"/>
    <mergeCell ref="F6:F7"/>
    <mergeCell ref="G6:G7"/>
    <mergeCell ref="A1:C3"/>
    <mergeCell ref="D1:R3"/>
    <mergeCell ref="S1:T1"/>
    <mergeCell ref="A4:A5"/>
    <mergeCell ref="B4:B5"/>
    <mergeCell ref="C4:C5"/>
    <mergeCell ref="D4:F4"/>
    <mergeCell ref="G4:G5"/>
    <mergeCell ref="H4:H5"/>
    <mergeCell ref="I4:K4"/>
  </mergeCells>
  <pageMargins left="3.937007874015748E-2" right="3.937007874015748E-2" top="0.19685039370078741" bottom="3.937007874015748E-2" header="0.31496062992125984" footer="0.31496062992125984"/>
  <pageSetup paperSize="8" scale="9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10</vt:i4>
      </vt:variant>
      <vt:variant>
        <vt:lpstr>Adlandırılmış Aralıklar</vt:lpstr>
      </vt:variant>
      <vt:variant>
        <vt:i4>2</vt:i4>
      </vt:variant>
    </vt:vector>
  </HeadingPairs>
  <TitlesOfParts>
    <vt:vector size="12" baseType="lpstr">
      <vt:lpstr>8.08.2026</vt:lpstr>
      <vt:lpstr>10.08.2026</vt:lpstr>
      <vt:lpstr>11.08.2026</vt:lpstr>
      <vt:lpstr>12.08.2026</vt:lpstr>
      <vt:lpstr>13.08.2026</vt:lpstr>
      <vt:lpstr>14.08.2026</vt:lpstr>
      <vt:lpstr>15.08.2026</vt:lpstr>
      <vt:lpstr>16.08.2026</vt:lpstr>
      <vt:lpstr>17.08.2026</vt:lpstr>
      <vt:lpstr>18.08.2026</vt:lpstr>
      <vt:lpstr>'17.08.2026'!Yazdırma_Alanı</vt:lpstr>
      <vt:lpstr>'18.08.2026'!Yazdırma_Alanı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Doğukan Kara</dc:creator>
  <cp:lastModifiedBy>yedek parca</cp:lastModifiedBy>
  <cp:lastPrinted>2026-08-18T08:27:14Z</cp:lastPrinted>
  <dcterms:created xsi:type="dcterms:W3CDTF">2015-06-05T18:19:34Z</dcterms:created>
  <dcterms:modified xsi:type="dcterms:W3CDTF">2026-08-19T05:42:54Z</dcterms:modified>
</cp:coreProperties>
</file>
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"/>
    </mc:Choice>
  </mc:AlternateContent>
  <xr:revisionPtr revIDLastSave="0" documentId="13_ncr:1_{037B9452-A97B-4425-A8C2-B80E03774CE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0.08.2026" sheetId="2" r:id="rId1"/>
    <sheet name="11.08.2026" sheetId="4" r:id="rId2"/>
    <sheet name="12.08.2026" sheetId="5" r:id="rId3"/>
    <sheet name="13.08.2026" sheetId="6" r:id="rId4"/>
    <sheet name="14.08.2026" sheetId="7" r:id="rId5"/>
    <sheet name="15.08.2026" sheetId="8" r:id="rId6"/>
    <sheet name="16.08.2026" sheetId="9" r:id="rId7"/>
    <sheet name="17.08.2026" sheetId="10" r:id="rId8"/>
  </sheets>
  <definedNames>
    <definedName name="_xlnm.Print_Area" localSheetId="7">'17.08.2026'!$A$1:$T$53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0" l="1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H30" i="10" l="1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H48" i="10" l="1"/>
  <c r="P6" i="10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48" i="7" l="1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<sst xmlns="http://schemas.openxmlformats.org/spreadsheetml/2006/main" count="926" uniqueCount="118">
  <si>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</si>
  <si>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</si>
  <si>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</si>
  <si>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</si>
  <si>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</si>
  <si>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</si>
  <si>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</si>
  <si>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</si>
  <si>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</si>
  <si>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</si>
  <si>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</si>
  <si>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</si>
  <si>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</si>
  <si>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</si>
  <si>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 xml:space="preserve"> FİRE (kg)</t>
  </si>
  <si>
    <t>ÜRÜN TOPLAM (ad)</t>
  </si>
  <si>
    <t>ÜRETİM HEDEFİ GÜN</t>
  </si>
  <si>
    <t>ÜRETİM HEDEFİ VARDİYA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</si>
  <si>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</si>
  <si>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</si>
  <si>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</si>
  <si>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</si>
  <si>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</si>
  <si>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</si>
  <si>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</si>
  <si>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</si>
  <si>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</si>
  <si>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</si>
  <si>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</si>
  <si>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</si>
  <si>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</si>
  <si>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</si>
  <si>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</si>
  <si>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</si>
  <si>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</si>
  <si>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</si>
  <si>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</si>
  <si>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</si>
  <si>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</si>
  <si>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</si>
  <si>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</si>
  <si>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</si>
  <si>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</si>
  <si>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</si>
  <si>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</si>
  <si>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</si>
  <si>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</si>
  <si>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</si>
  <si>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</si>
  <si>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</si>
  <si>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</si>
  <si>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</si>
  <si>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</si>
  <si>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</si>
  <si>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</si>
  <si>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</si>
  <si>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</si>
  <si>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</si>
  <si>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</si>
  <si>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</si>
  <si>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</si>
  <si>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</si>
  <si>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</si>
  <si>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</si>
  <si>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</si>
  <si>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</si>
  <si>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</si>
  <si>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</si>
  <si>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</si>
  <si>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</si>
  <si>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OP-YOK</t>
  </si>
  <si>
    <t>KULLANILAN MAKARALAR</t>
  </si>
  <si>
    <t xml:space="preserve">MİTHAT YILMAZ </t>
  </si>
  <si>
    <t>CAN DANYAL TETİK</t>
  </si>
  <si>
    <t>FATİH MERT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</si>
  <si>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</si>
  <si>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</si>
  <si>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</si>
  <si>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</si>
  <si>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</si>
  <si>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</si>
  <si>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</si>
  <si>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</si>
  <si>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</si>
  <si>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</si>
  <si>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</si>
  <si>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</si>
  <si>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</si>
  <si>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</si>
  <si>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</si>
  <si>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</si>
  <si>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</si>
  <si>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</si>
  <si>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</si>
  <si>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</si>
  <si>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</si>
  <si>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</si>
  <si>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</si>
  <si>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</si>
  <si>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</si>
  <si>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</si>
  <si>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</si>
  <si>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</si>
  <si>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</si>
  <si>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</si>
  <si>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</si>
  <si>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</si>
  <si>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</si>
  <si>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</si>
  <si>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</si>
  <si>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</si>
  <si>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</si>
  <si>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</si>
  <si>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</si>
  <si>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</si>
  <si>
    <t>YUNUS EMRE ALTK.</t>
  </si>
  <si>
    <t>İBRAHİM KILIÇ</t>
  </si>
  <si>
    <t>MEHMET BOLAT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</si>
</sst>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8" borderId="1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1" fontId="2" fillId="0" borderId="22" xfId="0" applyNumberFormat="1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7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tabSelected="1" zoomScaleNormal="100" workbookViewId="0">
      <selection activeCell="P18" sqref="P18:P23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20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40">
        <v>80013</v>
      </c>
      <c r="E6" s="40">
        <v>38719</v>
      </c>
      <c r="F6" s="40">
        <v>80015</v>
      </c>
      <c r="G6" s="40">
        <f>SUM(D6:F6)</f>
        <v>198747</v>
      </c>
      <c r="H6" s="37">
        <f>SUM(G6:G10)</f>
        <v>198747</v>
      </c>
      <c r="I6" s="37">
        <v>465</v>
      </c>
      <c r="J6" s="37">
        <v>224</v>
      </c>
      <c r="K6" s="37">
        <v>465</v>
      </c>
      <c r="L6" s="37"/>
      <c r="M6" s="44">
        <f>(100*D6)/$S$3</f>
        <v>88.903333333333336</v>
      </c>
      <c r="N6" s="44">
        <f t="shared" ref="N6:O6" si="0">(100*E6)/$S$3</f>
        <v>43.021111111111111</v>
      </c>
      <c r="O6" s="44">
        <f t="shared" si="0"/>
        <v>88.905555555555551</v>
      </c>
      <c r="P6" s="44">
        <f>(H6*100)/$R$3</f>
        <v>73.61</v>
      </c>
      <c r="Q6" s="47" t="s">
        <v>26</v>
      </c>
      <c r="R6" s="47" t="s">
        <v>27</v>
      </c>
      <c r="S6" s="47" t="s">
        <v>26</v>
      </c>
    </row>
    <row r="7" spans="1:19" ht="15" customHeight="1" thickBot="1" x14ac:dyDescent="0.35">
      <c r="A7" s="56"/>
      <c r="B7" s="10" t="s">
        <v>117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47"/>
      <c r="S7" s="47"/>
    </row>
    <row r="8" spans="1:19" ht="15" customHeight="1" x14ac:dyDescent="0.3">
      <c r="A8" s="50"/>
      <c r="B8" s="11" t="s">
        <v>73</v>
      </c>
      <c r="C8" s="36"/>
      <c r="D8" s="36"/>
      <c r="E8" s="36"/>
      <c r="F8" s="36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48"/>
      <c r="S8" s="48"/>
    </row>
    <row r="9" spans="1:19" ht="15" customHeight="1" thickBot="1" x14ac:dyDescent="0.35">
      <c r="A9" s="50"/>
      <c r="B9" s="11" t="s">
        <v>74</v>
      </c>
      <c r="C9" s="37"/>
      <c r="D9" s="37"/>
      <c r="E9" s="37"/>
      <c r="F9" s="37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48"/>
      <c r="S9" s="48"/>
    </row>
    <row r="10" spans="1:19" ht="15" customHeight="1" x14ac:dyDescent="0.3">
      <c r="A10" s="50"/>
      <c r="B10" s="11" t="s">
        <v>72</v>
      </c>
      <c r="C10" s="36"/>
      <c r="D10" s="36"/>
      <c r="E10" s="36"/>
      <c r="F10" s="36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48"/>
      <c r="S10" s="48"/>
    </row>
    <row r="11" spans="1:19" ht="15" customHeight="1" thickBot="1" x14ac:dyDescent="0.35">
      <c r="A11" s="50"/>
      <c r="B11" s="11" t="s">
        <v>115</v>
      </c>
      <c r="C11" s="37"/>
      <c r="D11" s="37"/>
      <c r="E11" s="37"/>
      <c r="F11" s="37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8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6">
        <v>77188</v>
      </c>
      <c r="E12" s="36">
        <v>78128</v>
      </c>
      <c r="F12" s="36">
        <v>78461</v>
      </c>
      <c r="G12" s="40">
        <f t="shared" ref="G12" si="3">SUM(D12:F12)</f>
        <v>233777</v>
      </c>
      <c r="H12" s="37">
        <f>SUM(G12:G16)</f>
        <v>233777</v>
      </c>
      <c r="I12" s="49">
        <v>460</v>
      </c>
      <c r="J12" s="49">
        <v>466</v>
      </c>
      <c r="K12" s="49">
        <v>465</v>
      </c>
      <c r="L12" s="49"/>
      <c r="M12" s="44">
        <f>(100*D12)/$S$3</f>
        <v>85.76444444444445</v>
      </c>
      <c r="N12" s="44">
        <f t="shared" ref="N12:O12" si="4">(100*E12)/$S$3</f>
        <v>86.808888888888887</v>
      </c>
      <c r="O12" s="44">
        <f t="shared" si="4"/>
        <v>87.178888888888892</v>
      </c>
      <c r="P12" s="44">
        <f>(H12*100)/$R$3</f>
        <v>86.584074074074067</v>
      </c>
      <c r="Q12" s="47" t="s">
        <v>26</v>
      </c>
      <c r="R12" s="47" t="s">
        <v>26</v>
      </c>
      <c r="S12" s="47" t="s">
        <v>26</v>
      </c>
    </row>
    <row r="13" spans="1:19" ht="15" customHeight="1" thickBot="1" x14ac:dyDescent="0.35">
      <c r="A13" s="50"/>
      <c r="B13" s="10" t="s">
        <v>117</v>
      </c>
      <c r="C13" s="37"/>
      <c r="D13" s="37"/>
      <c r="E13" s="37"/>
      <c r="F13" s="37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47"/>
      <c r="S13" s="47"/>
    </row>
    <row r="14" spans="1:19" ht="15" customHeight="1" x14ac:dyDescent="0.3">
      <c r="A14" s="50"/>
      <c r="B14" s="11" t="s">
        <v>73</v>
      </c>
      <c r="C14" s="36"/>
      <c r="D14" s="36"/>
      <c r="E14" s="36"/>
      <c r="F14" s="36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48"/>
      <c r="S14" s="48"/>
    </row>
    <row r="15" spans="1:19" ht="15" customHeight="1" thickBot="1" x14ac:dyDescent="0.35">
      <c r="A15" s="50"/>
      <c r="B15" s="11" t="s">
        <v>74</v>
      </c>
      <c r="C15" s="37"/>
      <c r="D15" s="37"/>
      <c r="E15" s="37"/>
      <c r="F15" s="37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48"/>
      <c r="S15" s="48"/>
    </row>
    <row r="16" spans="1:19" ht="15" customHeight="1" x14ac:dyDescent="0.3">
      <c r="A16" s="50"/>
      <c r="B16" s="11" t="s">
        <v>72</v>
      </c>
      <c r="C16" s="36"/>
      <c r="D16" s="36"/>
      <c r="E16" s="36"/>
      <c r="F16" s="36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48"/>
      <c r="S16" s="48"/>
    </row>
    <row r="17" spans="1:19" ht="15" customHeight="1" thickBot="1" x14ac:dyDescent="0.35">
      <c r="A17" s="50"/>
      <c r="B17" s="11" t="s">
        <v>115</v>
      </c>
      <c r="C17" s="37"/>
      <c r="D17" s="37"/>
      <c r="E17" s="37"/>
      <c r="F17" s="37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8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6">
        <v>82113</v>
      </c>
      <c r="E18" s="36">
        <v>82269</v>
      </c>
      <c r="F18" s="36">
        <v>81151</v>
      </c>
      <c r="G18" s="40">
        <f t="shared" ref="G18" si="7">SUM(D18:F18)</f>
        <v>245533</v>
      </c>
      <c r="H18" s="37">
        <f>SUM(G18:G22)</f>
        <v>245533</v>
      </c>
      <c r="I18" s="49"/>
      <c r="J18" s="49"/>
      <c r="K18" s="49"/>
      <c r="L18" s="49"/>
      <c r="M18" s="44">
        <f t="shared" ref="M18:O18" si="8">(100*D18)/$S$3</f>
        <v>91.236666666666665</v>
      </c>
      <c r="N18" s="44">
        <f t="shared" si="8"/>
        <v>91.41</v>
      </c>
      <c r="O18" s="44">
        <f t="shared" si="8"/>
        <v>90.167777777777772</v>
      </c>
      <c r="P18" s="44">
        <f t="shared" ref="P18" si="9">(H18*100)/$R$3</f>
        <v>90.938148148148144</v>
      </c>
      <c r="Q18" s="47" t="s">
        <v>26</v>
      </c>
      <c r="R18" s="47" t="s">
        <v>26</v>
      </c>
      <c r="S18" s="47" t="s">
        <v>26</v>
      </c>
    </row>
    <row r="19" spans="1:19" ht="15" customHeight="1" thickBot="1" x14ac:dyDescent="0.35">
      <c r="A19" s="50"/>
      <c r="B19" s="10" t="s">
        <v>117</v>
      </c>
      <c r="C19" s="37"/>
      <c r="D19" s="37"/>
      <c r="E19" s="37"/>
      <c r="F19" s="37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6"/>
      <c r="E20" s="36"/>
      <c r="F20" s="36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7"/>
      <c r="E21" s="37"/>
      <c r="F21" s="37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6"/>
      <c r="E22" s="36"/>
      <c r="F22" s="36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7"/>
      <c r="E23" s="37"/>
      <c r="F23" s="37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6"/>
      <c r="E24" s="36"/>
      <c r="F24" s="36"/>
      <c r="G24" s="40">
        <f t="shared" ref="G24" si="12">SUM(D24:F24)</f>
        <v>0</v>
      </c>
      <c r="H24" s="37">
        <f>SUM(G24:G28)</f>
        <v>225532</v>
      </c>
      <c r="I24" s="49">
        <v>344</v>
      </c>
      <c r="J24" s="49">
        <v>467</v>
      </c>
      <c r="K24" s="49">
        <v>451</v>
      </c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83.530370370370363</v>
      </c>
      <c r="Q24" s="47" t="s">
        <v>22</v>
      </c>
      <c r="R24" s="47" t="s">
        <v>26</v>
      </c>
      <c r="S24" s="47" t="s">
        <v>26</v>
      </c>
    </row>
    <row r="25" spans="1:19" ht="15" customHeight="1" thickBot="1" x14ac:dyDescent="0.35">
      <c r="A25" s="50"/>
      <c r="B25" s="10" t="s">
        <v>117</v>
      </c>
      <c r="C25" s="37"/>
      <c r="D25" s="37"/>
      <c r="E25" s="37"/>
      <c r="F25" s="37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6">
        <v>61569</v>
      </c>
      <c r="E26" s="36">
        <v>83402</v>
      </c>
      <c r="F26" s="36">
        <v>80561</v>
      </c>
      <c r="G26" s="40">
        <f t="shared" ref="G26" si="15">SUM(D26:F26)</f>
        <v>225532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7"/>
      <c r="E27" s="37"/>
      <c r="F27" s="37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/>
      <c r="D28" s="36"/>
      <c r="E28" s="36"/>
      <c r="F28" s="36"/>
      <c r="G28" s="40">
        <f t="shared" ref="G28" si="16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7"/>
      <c r="E29" s="37"/>
      <c r="F29" s="37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6"/>
      <c r="E30" s="36"/>
      <c r="F30" s="36"/>
      <c r="G30" s="40">
        <f t="shared" ref="G30" si="17">SUM(D30:F30)</f>
        <v>0</v>
      </c>
      <c r="H30" s="37">
        <f>SUM(G30:G34)</f>
        <v>229908</v>
      </c>
      <c r="I30" s="49">
        <v>341</v>
      </c>
      <c r="J30" s="49">
        <v>456</v>
      </c>
      <c r="K30" s="49">
        <v>450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85.151111111111106</v>
      </c>
      <c r="Q30" s="47" t="s">
        <v>22</v>
      </c>
      <c r="R30" s="47" t="s">
        <v>26</v>
      </c>
      <c r="S30" s="47" t="s">
        <v>26</v>
      </c>
    </row>
    <row r="31" spans="1:19" ht="15" customHeight="1" thickBot="1" x14ac:dyDescent="0.35">
      <c r="A31" s="50"/>
      <c r="B31" s="10" t="s">
        <v>117</v>
      </c>
      <c r="C31" s="37"/>
      <c r="D31" s="37"/>
      <c r="E31" s="37"/>
      <c r="F31" s="37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6">
        <v>62889</v>
      </c>
      <c r="E32" s="36">
        <v>84037</v>
      </c>
      <c r="F32" s="36">
        <v>82982</v>
      </c>
      <c r="G32" s="40">
        <f t="shared" ref="G32" si="20">SUM(D32:F32)</f>
        <v>229908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7"/>
      <c r="E33" s="37"/>
      <c r="F33" s="37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/>
      <c r="D34" s="36"/>
      <c r="E34" s="36"/>
      <c r="F34" s="36"/>
      <c r="G34" s="40">
        <f t="shared" ref="G34" si="21">SUM(D34:F34)</f>
        <v>0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7"/>
      <c r="E35" s="37"/>
      <c r="F35" s="37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6">
        <v>65950</v>
      </c>
      <c r="E36" s="36">
        <v>33316</v>
      </c>
      <c r="F36" s="36">
        <v>81108</v>
      </c>
      <c r="G36" s="40">
        <f t="shared" ref="G36" si="22">SUM(D36:F36)</f>
        <v>180374</v>
      </c>
      <c r="H36" s="37">
        <f>SUM(G36:G40)</f>
        <v>180374</v>
      </c>
      <c r="I36" s="49">
        <v>348</v>
      </c>
      <c r="J36" s="49">
        <v>176</v>
      </c>
      <c r="K36" s="49">
        <v>428</v>
      </c>
      <c r="L36" s="49"/>
      <c r="M36" s="44">
        <f t="shared" ref="M36:O36" si="23">(100*D36)/$S$3</f>
        <v>73.277777777777771</v>
      </c>
      <c r="N36" s="44">
        <f t="shared" si="23"/>
        <v>37.017777777777781</v>
      </c>
      <c r="O36" s="44">
        <f t="shared" si="23"/>
        <v>90.12</v>
      </c>
      <c r="P36" s="44">
        <f t="shared" ref="P36" si="24">(H36*100)/$R$3</f>
        <v>66.805185185185181</v>
      </c>
      <c r="Q36" s="47" t="s">
        <v>24</v>
      </c>
      <c r="R36" s="47" t="s">
        <v>28</v>
      </c>
      <c r="S36" s="47" t="s">
        <v>26</v>
      </c>
    </row>
    <row r="37" spans="1:19" ht="15" customHeight="1" thickBot="1" x14ac:dyDescent="0.35">
      <c r="A37" s="50"/>
      <c r="B37" s="10" t="s">
        <v>117</v>
      </c>
      <c r="C37" s="37"/>
      <c r="D37" s="37"/>
      <c r="E37" s="37"/>
      <c r="F37" s="37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47"/>
    </row>
    <row r="38" spans="1:19" ht="15" customHeight="1" x14ac:dyDescent="0.3">
      <c r="A38" s="50"/>
      <c r="B38" s="11" t="s">
        <v>73</v>
      </c>
      <c r="C38" s="36"/>
      <c r="D38" s="36"/>
      <c r="E38" s="36"/>
      <c r="F38" s="36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48"/>
    </row>
    <row r="39" spans="1:19" ht="15" customHeight="1" thickBot="1" x14ac:dyDescent="0.35">
      <c r="A39" s="50"/>
      <c r="B39" s="11" t="s">
        <v>74</v>
      </c>
      <c r="C39" s="37"/>
      <c r="D39" s="37"/>
      <c r="E39" s="37"/>
      <c r="F39" s="37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48"/>
    </row>
    <row r="40" spans="1:19" ht="15" customHeight="1" x14ac:dyDescent="0.3">
      <c r="A40" s="50"/>
      <c r="B40" s="11" t="s">
        <v>72</v>
      </c>
      <c r="C40" s="36"/>
      <c r="D40" s="36"/>
      <c r="E40" s="36"/>
      <c r="F40" s="36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48"/>
    </row>
    <row r="41" spans="1:19" ht="15" customHeight="1" thickBot="1" x14ac:dyDescent="0.35">
      <c r="A41" s="50"/>
      <c r="B41" s="11" t="s">
        <v>115</v>
      </c>
      <c r="C41" s="37"/>
      <c r="D41" s="37"/>
      <c r="E41" s="37"/>
      <c r="F41" s="37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8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6">
        <v>63178</v>
      </c>
      <c r="E42" s="36">
        <v>31435</v>
      </c>
      <c r="F42" s="36">
        <v>81557</v>
      </c>
      <c r="G42" s="40">
        <f t="shared" ref="G42" si="27">SUM(D42:F42)</f>
        <v>176170</v>
      </c>
      <c r="H42" s="37">
        <f>SUM(G42:G46)</f>
        <v>176170</v>
      </c>
      <c r="I42" s="49">
        <v>341</v>
      </c>
      <c r="J42" s="49">
        <v>170</v>
      </c>
      <c r="K42" s="49">
        <v>441</v>
      </c>
      <c r="L42" s="49"/>
      <c r="M42" s="44">
        <f t="shared" ref="M42:O42" si="28">(100*D42)/$S$3</f>
        <v>70.197777777777773</v>
      </c>
      <c r="N42" s="44">
        <f t="shared" si="28"/>
        <v>34.927777777777777</v>
      </c>
      <c r="O42" s="44">
        <f t="shared" si="28"/>
        <v>90.61888888888889</v>
      </c>
      <c r="P42" s="44">
        <f>(H42*100)/$R$3</f>
        <v>65.248148148148147</v>
      </c>
      <c r="Q42" s="47" t="s">
        <v>25</v>
      </c>
      <c r="R42" s="47" t="s">
        <v>28</v>
      </c>
      <c r="S42" s="47" t="s">
        <v>26</v>
      </c>
    </row>
    <row r="43" spans="1:19" ht="15" customHeight="1" thickBot="1" x14ac:dyDescent="0.35">
      <c r="A43" s="50"/>
      <c r="B43" s="10" t="s">
        <v>117</v>
      </c>
      <c r="C43" s="37"/>
      <c r="D43" s="37"/>
      <c r="E43" s="37"/>
      <c r="F43" s="37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47"/>
    </row>
    <row r="44" spans="1:19" ht="15" customHeight="1" x14ac:dyDescent="0.3">
      <c r="A44" s="50"/>
      <c r="B44" s="11" t="s">
        <v>73</v>
      </c>
      <c r="C44" s="36"/>
      <c r="D44" s="36"/>
      <c r="E44" s="36"/>
      <c r="F44" s="36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48"/>
    </row>
    <row r="45" spans="1:19" ht="15" customHeight="1" thickBot="1" x14ac:dyDescent="0.35">
      <c r="A45" s="50"/>
      <c r="B45" s="11" t="s">
        <v>74</v>
      </c>
      <c r="C45" s="37"/>
      <c r="D45" s="37"/>
      <c r="E45" s="37"/>
      <c r="F45" s="37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48"/>
    </row>
    <row r="46" spans="1:19" ht="15" customHeight="1" x14ac:dyDescent="0.3">
      <c r="A46" s="50"/>
      <c r="B46" s="11" t="s">
        <v>72</v>
      </c>
      <c r="C46" s="36"/>
      <c r="D46" s="36"/>
      <c r="E46" s="36"/>
      <c r="F46" s="36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48"/>
    </row>
    <row r="47" spans="1:19" ht="15" customHeight="1" thickBot="1" x14ac:dyDescent="0.35">
      <c r="A47" s="50"/>
      <c r="B47" s="11" t="s">
        <v>115</v>
      </c>
      <c r="C47" s="42"/>
      <c r="D47" s="42"/>
      <c r="E47" s="42"/>
      <c r="F47" s="42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8"/>
    </row>
    <row r="48" spans="1:19" ht="15" thickBot="1" x14ac:dyDescent="0.35">
      <c r="C48" s="29" t="s">
        <v>19</v>
      </c>
      <c r="D48" s="31">
        <f>SUM(D6:D47)</f>
        <v>492900</v>
      </c>
      <c r="E48" s="31">
        <f>SUM(E6:E47)</f>
        <v>431306</v>
      </c>
      <c r="F48" s="31">
        <f>SUM(F6:F47)</f>
        <v>565835</v>
      </c>
      <c r="G48" s="31">
        <f>SUM(G6:G46)</f>
        <v>1490041</v>
      </c>
      <c r="H48" s="31">
        <f>SUM(H6:H47)</f>
        <v>1490041</v>
      </c>
    </row>
    <row r="49" spans="3:17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  <c r="Q49" s="9"/>
    </row>
    <row r="50" spans="3:17" x14ac:dyDescent="0.3">
      <c r="J50" s="15">
        <v>6</v>
      </c>
      <c r="K50" s="16" t="s">
        <v>61</v>
      </c>
      <c r="L50" s="97">
        <v>6</v>
      </c>
      <c r="M50" s="97"/>
      <c r="N50" s="16" t="s">
        <v>61</v>
      </c>
      <c r="O50" s="15"/>
      <c r="P50" s="15"/>
    </row>
    <row r="51" spans="3:17" x14ac:dyDescent="0.3">
      <c r="J51" s="15">
        <v>7</v>
      </c>
      <c r="K51" s="16" t="s">
        <v>61</v>
      </c>
      <c r="L51" s="97">
        <v>7</v>
      </c>
      <c r="M51" s="97"/>
      <c r="N51" s="16" t="s">
        <v>61</v>
      </c>
      <c r="O51" s="15"/>
      <c r="P51" s="15"/>
    </row>
    <row r="52" spans="3:17" x14ac:dyDescent="0.3">
      <c r="J52" s="13"/>
      <c r="K52" s="13"/>
      <c r="L52" s="98"/>
      <c r="M52" s="98"/>
      <c r="N52" s="13"/>
      <c r="O52" s="13"/>
      <c r="P52" s="13"/>
    </row>
    <row r="53" spans="3:17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36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40">
        <v>73119</v>
      </c>
      <c r="E6" s="40">
        <v>67408</v>
      </c>
      <c r="F6" s="40">
        <v>66633</v>
      </c>
      <c r="G6" s="40">
        <f>SUM(D6:F6)</f>
        <v>207160</v>
      </c>
      <c r="H6" s="37">
        <f>SUM(G6:G10)</f>
        <v>207160</v>
      </c>
      <c r="I6" s="37">
        <v>419</v>
      </c>
      <c r="J6" s="37">
        <v>383</v>
      </c>
      <c r="K6" s="37">
        <v>379</v>
      </c>
      <c r="L6" s="37"/>
      <c r="M6" s="44">
        <f>(100*D6)/$S$3</f>
        <v>81.243333333333339</v>
      </c>
      <c r="N6" s="44">
        <f t="shared" ref="N6:O6" si="0">(100*E6)/$S$3</f>
        <v>74.897777777777776</v>
      </c>
      <c r="O6" s="44">
        <f t="shared" si="0"/>
        <v>74.036666666666662</v>
      </c>
      <c r="P6" s="44">
        <f>(H6*100)/$R$3</f>
        <v>76.725925925925921</v>
      </c>
      <c r="Q6" s="47" t="s">
        <v>31</v>
      </c>
      <c r="R6" s="106" t="s">
        <v>32</v>
      </c>
      <c r="S6" s="47" t="s">
        <v>31</v>
      </c>
    </row>
    <row r="7" spans="1:19" ht="15" customHeight="1" thickBot="1" x14ac:dyDescent="0.35">
      <c r="A7" s="56"/>
      <c r="B7" s="10" t="s">
        <v>117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105"/>
      <c r="S7" s="47"/>
    </row>
    <row r="8" spans="1:19" ht="15" customHeight="1" x14ac:dyDescent="0.3">
      <c r="A8" s="50"/>
      <c r="B8" s="11" t="s">
        <v>73</v>
      </c>
      <c r="C8" s="36"/>
      <c r="D8" s="36"/>
      <c r="E8" s="36"/>
      <c r="F8" s="36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105"/>
      <c r="S8" s="48"/>
    </row>
    <row r="9" spans="1:19" ht="15" customHeight="1" thickBot="1" x14ac:dyDescent="0.35">
      <c r="A9" s="50"/>
      <c r="B9" s="11" t="s">
        <v>74</v>
      </c>
      <c r="C9" s="37"/>
      <c r="D9" s="37"/>
      <c r="E9" s="37"/>
      <c r="F9" s="37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105"/>
      <c r="S9" s="48"/>
    </row>
    <row r="10" spans="1:19" ht="15" customHeight="1" x14ac:dyDescent="0.3">
      <c r="A10" s="50"/>
      <c r="B10" s="11" t="s">
        <v>72</v>
      </c>
      <c r="C10" s="36"/>
      <c r="D10" s="36"/>
      <c r="E10" s="36"/>
      <c r="F10" s="36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105"/>
      <c r="S10" s="48"/>
    </row>
    <row r="11" spans="1:19" ht="15" customHeight="1" thickBot="1" x14ac:dyDescent="0.35">
      <c r="A11" s="50"/>
      <c r="B11" s="11" t="s">
        <v>115</v>
      </c>
      <c r="C11" s="37"/>
      <c r="D11" s="37"/>
      <c r="E11" s="37"/>
      <c r="F11" s="37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7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6">
        <v>72230</v>
      </c>
      <c r="E12" s="36">
        <v>66515</v>
      </c>
      <c r="F12" s="36">
        <v>65867</v>
      </c>
      <c r="G12" s="40">
        <f t="shared" ref="G12" si="3">SUM(D12:F12)</f>
        <v>204612</v>
      </c>
      <c r="H12" s="37">
        <f>SUM(G12:G16)</f>
        <v>204612</v>
      </c>
      <c r="I12" s="49">
        <v>424</v>
      </c>
      <c r="J12" s="49">
        <v>384</v>
      </c>
      <c r="K12" s="49">
        <v>380</v>
      </c>
      <c r="L12" s="49"/>
      <c r="M12" s="44">
        <f>(100*D12)/$S$3</f>
        <v>80.25555555555556</v>
      </c>
      <c r="N12" s="44">
        <f t="shared" ref="N12:O12" si="4">(100*E12)/$S$3</f>
        <v>73.905555555555551</v>
      </c>
      <c r="O12" s="44">
        <f t="shared" si="4"/>
        <v>73.185555555555553</v>
      </c>
      <c r="P12" s="44">
        <f>(H12*100)/$R$3</f>
        <v>75.782222222222217</v>
      </c>
      <c r="Q12" s="47" t="s">
        <v>31</v>
      </c>
      <c r="R12" s="104" t="s">
        <v>32</v>
      </c>
      <c r="S12" s="47" t="s">
        <v>31</v>
      </c>
    </row>
    <row r="13" spans="1:19" ht="15" customHeight="1" thickBot="1" x14ac:dyDescent="0.35">
      <c r="A13" s="50"/>
      <c r="B13" s="10" t="s">
        <v>117</v>
      </c>
      <c r="C13" s="37"/>
      <c r="D13" s="37"/>
      <c r="E13" s="37"/>
      <c r="F13" s="37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6"/>
      <c r="E14" s="36"/>
      <c r="F14" s="36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7"/>
      <c r="E15" s="37"/>
      <c r="F15" s="37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36"/>
      <c r="D16" s="36"/>
      <c r="E16" s="36"/>
      <c r="F16" s="36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37"/>
      <c r="D17" s="37"/>
      <c r="E17" s="37"/>
      <c r="F17" s="37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6">
        <v>70373</v>
      </c>
      <c r="E18" s="36">
        <v>70003</v>
      </c>
      <c r="F18" s="36">
        <v>67047</v>
      </c>
      <c r="G18" s="40">
        <f t="shared" ref="G18" si="7">SUM(D18:F18)</f>
        <v>207423</v>
      </c>
      <c r="H18" s="37">
        <f>SUM(G18:G22)</f>
        <v>207423</v>
      </c>
      <c r="I18" s="49"/>
      <c r="J18" s="49"/>
      <c r="K18" s="49"/>
      <c r="L18" s="49"/>
      <c r="M18" s="44">
        <f t="shared" ref="M18:O18" si="8">(100*D18)/$S$3</f>
        <v>78.192222222222227</v>
      </c>
      <c r="N18" s="44">
        <f t="shared" si="8"/>
        <v>77.781111111111116</v>
      </c>
      <c r="O18" s="44">
        <f t="shared" si="8"/>
        <v>74.49666666666667</v>
      </c>
      <c r="P18" s="44">
        <f t="shared" ref="P18" si="9">(H18*100)/$R$3</f>
        <v>76.823333333333338</v>
      </c>
      <c r="Q18" s="47" t="s">
        <v>31</v>
      </c>
      <c r="R18" s="47" t="s">
        <v>32</v>
      </c>
      <c r="S18" s="47" t="s">
        <v>31</v>
      </c>
    </row>
    <row r="19" spans="1:19" ht="15" customHeight="1" thickBot="1" x14ac:dyDescent="0.35">
      <c r="A19" s="50"/>
      <c r="B19" s="10" t="s">
        <v>117</v>
      </c>
      <c r="C19" s="37"/>
      <c r="D19" s="37"/>
      <c r="E19" s="37"/>
      <c r="F19" s="37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6"/>
      <c r="E20" s="36"/>
      <c r="F20" s="36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7"/>
      <c r="E21" s="37"/>
      <c r="F21" s="37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6"/>
      <c r="E22" s="36"/>
      <c r="F22" s="36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7"/>
      <c r="E23" s="37"/>
      <c r="F23" s="37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6"/>
      <c r="E24" s="36">
        <v>8975</v>
      </c>
      <c r="F24" s="36"/>
      <c r="G24" s="40">
        <f t="shared" ref="G24" si="12">SUM(D24:F24)</f>
        <v>8975</v>
      </c>
      <c r="H24" s="37">
        <f>SUM(G24:G28)</f>
        <v>200045</v>
      </c>
      <c r="I24" s="49">
        <v>431</v>
      </c>
      <c r="J24" s="49">
        <v>323</v>
      </c>
      <c r="K24" s="49">
        <v>364</v>
      </c>
      <c r="L24" s="49"/>
      <c r="M24" s="44">
        <f t="shared" ref="M24:O24" si="13">(100*D24)/$S$3</f>
        <v>0</v>
      </c>
      <c r="N24" s="44">
        <f t="shared" si="13"/>
        <v>9.9722222222222214</v>
      </c>
      <c r="O24" s="44">
        <f t="shared" si="13"/>
        <v>0</v>
      </c>
      <c r="P24" s="44">
        <f t="shared" ref="P24" si="14">(H24*100)/$R$3</f>
        <v>74.090740740740742</v>
      </c>
      <c r="Q24" s="47" t="s">
        <v>31</v>
      </c>
      <c r="R24" s="47" t="s">
        <v>34</v>
      </c>
      <c r="S24" s="47" t="s">
        <v>31</v>
      </c>
    </row>
    <row r="25" spans="1:19" ht="15" customHeight="1" thickBot="1" x14ac:dyDescent="0.35">
      <c r="A25" s="50"/>
      <c r="B25" s="10" t="s">
        <v>117</v>
      </c>
      <c r="C25" s="37"/>
      <c r="D25" s="37"/>
      <c r="E25" s="37"/>
      <c r="F25" s="37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6">
        <v>77021</v>
      </c>
      <c r="E26" s="36"/>
      <c r="F26" s="36"/>
      <c r="G26" s="40">
        <f t="shared" ref="G26" si="15">SUM(D26:F26)</f>
        <v>77021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7"/>
      <c r="E27" s="37"/>
      <c r="F27" s="37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 t="s">
        <v>33</v>
      </c>
      <c r="D28" s="36"/>
      <c r="E28" s="36">
        <v>49018</v>
      </c>
      <c r="F28" s="36">
        <v>65031</v>
      </c>
      <c r="G28" s="40">
        <f t="shared" ref="G28" si="16">SUM(D28:F28)</f>
        <v>114049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7"/>
      <c r="E29" s="37"/>
      <c r="F29" s="37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6"/>
      <c r="E30" s="36">
        <v>11678</v>
      </c>
      <c r="F30" s="36"/>
      <c r="G30" s="40">
        <f t="shared" ref="G30" si="17">SUM(D30:F30)</f>
        <v>11678</v>
      </c>
      <c r="H30" s="37">
        <f>SUM(G30:G34)</f>
        <v>213549</v>
      </c>
      <c r="I30" s="49">
        <v>441</v>
      </c>
      <c r="J30" s="49">
        <v>333</v>
      </c>
      <c r="K30" s="49">
        <v>382</v>
      </c>
      <c r="L30" s="49"/>
      <c r="M30" s="44">
        <f t="shared" ref="M30:O30" si="18">(100*D30)/$S$3</f>
        <v>0</v>
      </c>
      <c r="N30" s="44">
        <f t="shared" si="18"/>
        <v>12.975555555555555</v>
      </c>
      <c r="O30" s="44">
        <f t="shared" si="18"/>
        <v>0</v>
      </c>
      <c r="P30" s="44">
        <f t="shared" ref="P30" si="19">(H30*100)/$R$3</f>
        <v>79.092222222222219</v>
      </c>
      <c r="Q30" s="47" t="s">
        <v>31</v>
      </c>
      <c r="R30" s="47" t="s">
        <v>34</v>
      </c>
      <c r="S30" s="47" t="s">
        <v>31</v>
      </c>
    </row>
    <row r="31" spans="1:19" ht="15" customHeight="1" thickBot="1" x14ac:dyDescent="0.35">
      <c r="A31" s="50"/>
      <c r="B31" s="10" t="s">
        <v>117</v>
      </c>
      <c r="C31" s="37"/>
      <c r="D31" s="37"/>
      <c r="E31" s="37"/>
      <c r="F31" s="37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6">
        <v>81367</v>
      </c>
      <c r="E32" s="36"/>
      <c r="F32" s="36"/>
      <c r="G32" s="40">
        <f t="shared" ref="G32" si="20">SUM(D32:F32)</f>
        <v>81367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7"/>
      <c r="E33" s="37"/>
      <c r="F33" s="37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 t="s">
        <v>33</v>
      </c>
      <c r="D34" s="36"/>
      <c r="E34" s="36">
        <v>50077</v>
      </c>
      <c r="F34" s="36">
        <v>70427</v>
      </c>
      <c r="G34" s="40">
        <f t="shared" ref="G34" si="21">SUM(D34:F34)</f>
        <v>120504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7"/>
      <c r="E35" s="37"/>
      <c r="F35" s="37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6">
        <v>54188</v>
      </c>
      <c r="E36" s="101"/>
      <c r="F36" s="101"/>
      <c r="G36" s="40">
        <f t="shared" ref="G36" si="22">SUM(D36:F36)</f>
        <v>54188</v>
      </c>
      <c r="H36" s="37">
        <f>SUM(G36:G40)</f>
        <v>54188</v>
      </c>
      <c r="I36" s="49">
        <v>286</v>
      </c>
      <c r="J36" s="49"/>
      <c r="K36" s="49"/>
      <c r="L36" s="49"/>
      <c r="M36" s="44">
        <f t="shared" ref="M36:O36" si="23">(100*D36)/$S$3</f>
        <v>60.208888888888886</v>
      </c>
      <c r="N36" s="44">
        <f t="shared" si="23"/>
        <v>0</v>
      </c>
      <c r="O36" s="44">
        <f t="shared" si="23"/>
        <v>0</v>
      </c>
      <c r="P36" s="44">
        <f t="shared" ref="P36" si="24">(H36*100)/$R$3</f>
        <v>20.069629629629631</v>
      </c>
      <c r="Q36" s="47" t="s">
        <v>29</v>
      </c>
      <c r="R36" s="47" t="s">
        <v>35</v>
      </c>
      <c r="S36" s="47" t="s">
        <v>35</v>
      </c>
    </row>
    <row r="37" spans="1:19" ht="15" customHeight="1" thickBot="1" x14ac:dyDescent="0.35">
      <c r="A37" s="50"/>
      <c r="B37" s="10" t="s">
        <v>117</v>
      </c>
      <c r="C37" s="37"/>
      <c r="D37" s="37"/>
      <c r="E37" s="102"/>
      <c r="F37" s="102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47"/>
    </row>
    <row r="38" spans="1:19" ht="15" customHeight="1" x14ac:dyDescent="0.3">
      <c r="A38" s="50"/>
      <c r="B38" s="11" t="s">
        <v>73</v>
      </c>
      <c r="C38" s="36"/>
      <c r="D38" s="36"/>
      <c r="E38" s="36"/>
      <c r="F38" s="36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48"/>
    </row>
    <row r="39" spans="1:19" ht="15" customHeight="1" thickBot="1" x14ac:dyDescent="0.35">
      <c r="A39" s="50"/>
      <c r="B39" s="11" t="s">
        <v>74</v>
      </c>
      <c r="C39" s="37"/>
      <c r="D39" s="37"/>
      <c r="E39" s="37"/>
      <c r="F39" s="37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48"/>
    </row>
    <row r="40" spans="1:19" ht="15" customHeight="1" x14ac:dyDescent="0.3">
      <c r="A40" s="50"/>
      <c r="B40" s="11" t="s">
        <v>72</v>
      </c>
      <c r="C40" s="36"/>
      <c r="D40" s="36"/>
      <c r="E40" s="36"/>
      <c r="F40" s="36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48"/>
    </row>
    <row r="41" spans="1:19" ht="15" customHeight="1" thickBot="1" x14ac:dyDescent="0.35">
      <c r="A41" s="50"/>
      <c r="B41" s="11" t="s">
        <v>115</v>
      </c>
      <c r="C41" s="37"/>
      <c r="D41" s="37"/>
      <c r="E41" s="37"/>
      <c r="F41" s="37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8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6">
        <v>40837</v>
      </c>
      <c r="E42" s="101"/>
      <c r="F42" s="101"/>
      <c r="G42" s="40">
        <f t="shared" ref="G42" si="27">SUM(D42:F42)</f>
        <v>40837</v>
      </c>
      <c r="H42" s="37">
        <f>SUM(G42:G46)</f>
        <v>40837</v>
      </c>
      <c r="I42" s="49">
        <v>221</v>
      </c>
      <c r="J42" s="49"/>
      <c r="K42" s="49"/>
      <c r="L42" s="49"/>
      <c r="M42" s="44">
        <f t="shared" ref="M42:O42" si="28">(100*D42)/$S$3</f>
        <v>45.374444444444443</v>
      </c>
      <c r="N42" s="44">
        <f t="shared" si="28"/>
        <v>0</v>
      </c>
      <c r="O42" s="44">
        <f t="shared" si="28"/>
        <v>0</v>
      </c>
      <c r="P42" s="44">
        <f>(H42*100)/$R$3</f>
        <v>15.124814814814815</v>
      </c>
      <c r="Q42" s="47" t="s">
        <v>30</v>
      </c>
      <c r="R42" s="47" t="s">
        <v>35</v>
      </c>
      <c r="S42" s="47" t="s">
        <v>35</v>
      </c>
    </row>
    <row r="43" spans="1:19" ht="15" customHeight="1" thickBot="1" x14ac:dyDescent="0.35">
      <c r="A43" s="50"/>
      <c r="B43" s="10" t="s">
        <v>117</v>
      </c>
      <c r="C43" s="37"/>
      <c r="D43" s="37"/>
      <c r="E43" s="102"/>
      <c r="F43" s="102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47"/>
    </row>
    <row r="44" spans="1:19" ht="15" customHeight="1" x14ac:dyDescent="0.3">
      <c r="A44" s="50"/>
      <c r="B44" s="11" t="s">
        <v>73</v>
      </c>
      <c r="C44" s="36"/>
      <c r="D44" s="36"/>
      <c r="E44" s="36"/>
      <c r="F44" s="36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48"/>
    </row>
    <row r="45" spans="1:19" ht="15" customHeight="1" thickBot="1" x14ac:dyDescent="0.35">
      <c r="A45" s="50"/>
      <c r="B45" s="11" t="s">
        <v>74</v>
      </c>
      <c r="C45" s="37"/>
      <c r="D45" s="37"/>
      <c r="E45" s="37"/>
      <c r="F45" s="37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48"/>
    </row>
    <row r="46" spans="1:19" ht="15" customHeight="1" x14ac:dyDescent="0.3">
      <c r="A46" s="50"/>
      <c r="B46" s="11" t="s">
        <v>72</v>
      </c>
      <c r="C46" s="36"/>
      <c r="D46" s="36"/>
      <c r="E46" s="36"/>
      <c r="F46" s="36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48"/>
    </row>
    <row r="47" spans="1:19" ht="15" customHeight="1" thickBot="1" x14ac:dyDescent="0.35">
      <c r="A47" s="50"/>
      <c r="B47" s="11" t="s">
        <v>115</v>
      </c>
      <c r="C47" s="42"/>
      <c r="D47" s="42"/>
      <c r="E47" s="42"/>
      <c r="F47" s="42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8"/>
    </row>
    <row r="48" spans="1:19" ht="15" thickBot="1" x14ac:dyDescent="0.35">
      <c r="C48" s="29" t="s">
        <v>19</v>
      </c>
      <c r="D48" s="31">
        <f>SUM(D6:D47)</f>
        <v>469135</v>
      </c>
      <c r="E48" s="31">
        <f>SUM(E6:E47)</f>
        <v>323674</v>
      </c>
      <c r="F48" s="31">
        <f>SUM(F6:F47)</f>
        <v>335005</v>
      </c>
      <c r="G48" s="31">
        <f>SUM(G6:G46)</f>
        <v>1127814</v>
      </c>
      <c r="H48" s="31">
        <f>SUM(H6:H47)</f>
        <v>1127814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103">
        <v>6</v>
      </c>
      <c r="M50" s="103"/>
      <c r="N50" s="16" t="s">
        <v>104</v>
      </c>
      <c r="O50" s="15">
        <v>6</v>
      </c>
      <c r="P50" s="16" t="s">
        <v>104</v>
      </c>
    </row>
    <row r="51" spans="3:16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104</v>
      </c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43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67">
        <v>80013</v>
      </c>
      <c r="E6" s="67">
        <v>72009</v>
      </c>
      <c r="F6" s="67">
        <v>71729</v>
      </c>
      <c r="G6" s="40">
        <f>SUM(D6:F6)</f>
        <v>223751</v>
      </c>
      <c r="H6" s="37">
        <f>SUM(G6:G10)</f>
        <v>223751</v>
      </c>
      <c r="I6" s="37">
        <v>410</v>
      </c>
      <c r="J6" s="37">
        <v>381</v>
      </c>
      <c r="K6" s="37">
        <v>377</v>
      </c>
      <c r="L6" s="37"/>
      <c r="M6" s="44">
        <f>(100*D6)/$S$3</f>
        <v>88.903333333333336</v>
      </c>
      <c r="N6" s="44">
        <f t="shared" ref="N6:O6" si="0">(100*E6)/$S$3</f>
        <v>80.010000000000005</v>
      </c>
      <c r="O6" s="44">
        <f t="shared" si="0"/>
        <v>79.698888888888888</v>
      </c>
      <c r="P6" s="44">
        <f>(H6*100)/$R$3</f>
        <v>82.870740740740743</v>
      </c>
      <c r="Q6" s="47" t="s">
        <v>38</v>
      </c>
      <c r="R6" s="106" t="s">
        <v>41</v>
      </c>
      <c r="S6" s="106" t="s">
        <v>41</v>
      </c>
    </row>
    <row r="7" spans="1:19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105"/>
      <c r="S7" s="105"/>
    </row>
    <row r="8" spans="1:19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105"/>
      <c r="S8" s="105"/>
    </row>
    <row r="9" spans="1:19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105"/>
      <c r="S9" s="105"/>
    </row>
    <row r="10" spans="1:19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105"/>
      <c r="S10" s="105"/>
    </row>
    <row r="11" spans="1:19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7"/>
      <c r="S11" s="47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8">
        <v>77504</v>
      </c>
      <c r="E12" s="38">
        <v>71369</v>
      </c>
      <c r="F12" s="38">
        <v>39913</v>
      </c>
      <c r="G12" s="40">
        <f t="shared" ref="G12" si="3">SUM(D12:F12)</f>
        <v>188786</v>
      </c>
      <c r="H12" s="37">
        <f>SUM(G12:G16)</f>
        <v>188786</v>
      </c>
      <c r="I12" s="49">
        <v>428</v>
      </c>
      <c r="J12" s="49">
        <v>381</v>
      </c>
      <c r="K12" s="49">
        <v>224</v>
      </c>
      <c r="L12" s="49"/>
      <c r="M12" s="44">
        <f>(100*D12)/$S$3</f>
        <v>86.115555555555559</v>
      </c>
      <c r="N12" s="44">
        <f t="shared" ref="N12:O12" si="4">(100*E12)/$S$3</f>
        <v>79.298888888888882</v>
      </c>
      <c r="O12" s="44">
        <f t="shared" si="4"/>
        <v>44.347777777777779</v>
      </c>
      <c r="P12" s="44">
        <f>(H12*100)/$R$3</f>
        <v>69.92074074074074</v>
      </c>
      <c r="Q12" s="47" t="s">
        <v>38</v>
      </c>
      <c r="R12" s="104" t="s">
        <v>41</v>
      </c>
      <c r="S12" s="47" t="s">
        <v>42</v>
      </c>
    </row>
    <row r="13" spans="1:19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8">
        <v>81088</v>
      </c>
      <c r="E18" s="38">
        <v>76341</v>
      </c>
      <c r="F18" s="38">
        <v>73316</v>
      </c>
      <c r="G18" s="40">
        <f t="shared" ref="G18" si="7">SUM(D18:F18)</f>
        <v>230745</v>
      </c>
      <c r="H18" s="37">
        <f>SUM(G18:G22)</f>
        <v>230745</v>
      </c>
      <c r="I18" s="49"/>
      <c r="J18" s="49"/>
      <c r="K18" s="49"/>
      <c r="L18" s="49"/>
      <c r="M18" s="44">
        <f t="shared" ref="M18:O18" si="8">(100*D18)/$S$3</f>
        <v>90.097777777777779</v>
      </c>
      <c r="N18" s="44">
        <f t="shared" si="8"/>
        <v>84.823333333333338</v>
      </c>
      <c r="O18" s="44">
        <f t="shared" si="8"/>
        <v>81.462222222222223</v>
      </c>
      <c r="P18" s="44">
        <f t="shared" ref="P18" si="9">(H18*100)/$R$3</f>
        <v>85.461111111111109</v>
      </c>
      <c r="Q18" s="47" t="s">
        <v>38</v>
      </c>
      <c r="R18" s="104" t="s">
        <v>41</v>
      </c>
      <c r="S18" s="106" t="s">
        <v>41</v>
      </c>
    </row>
    <row r="19" spans="1:19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105"/>
      <c r="S19" s="105"/>
    </row>
    <row r="20" spans="1:19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105"/>
      <c r="S20" s="105"/>
    </row>
    <row r="21" spans="1:19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105"/>
      <c r="S21" s="105"/>
    </row>
    <row r="22" spans="1:19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105"/>
      <c r="S22" s="105"/>
    </row>
    <row r="23" spans="1:19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7"/>
      <c r="S23" s="47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>SUM(G24:G28)</f>
        <v>223311</v>
      </c>
      <c r="I24" s="49">
        <v>421</v>
      </c>
      <c r="J24" s="49">
        <v>372</v>
      </c>
      <c r="K24" s="49"/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82.707777777777778</v>
      </c>
      <c r="Q24" s="47" t="s">
        <v>39</v>
      </c>
      <c r="R24" s="47" t="s">
        <v>39</v>
      </c>
      <c r="S24" s="106" t="s">
        <v>41</v>
      </c>
    </row>
    <row r="25" spans="1:19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105"/>
    </row>
    <row r="26" spans="1:19" ht="15" customHeight="1" x14ac:dyDescent="0.3">
      <c r="A26" s="50"/>
      <c r="B26" s="11" t="s">
        <v>73</v>
      </c>
      <c r="C26" s="36" t="s">
        <v>21</v>
      </c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105"/>
    </row>
    <row r="27" spans="1:19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105"/>
    </row>
    <row r="28" spans="1:19" ht="15" customHeight="1" x14ac:dyDescent="0.3">
      <c r="A28" s="50"/>
      <c r="B28" s="11" t="s">
        <v>72</v>
      </c>
      <c r="C28" s="36" t="s">
        <v>33</v>
      </c>
      <c r="D28" s="38">
        <v>78715</v>
      </c>
      <c r="E28" s="38">
        <v>73454</v>
      </c>
      <c r="F28" s="38">
        <v>71142</v>
      </c>
      <c r="G28" s="40">
        <f t="shared" ref="G28" si="16">SUM(D28:F28)</f>
        <v>223311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105"/>
    </row>
    <row r="29" spans="1:19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7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7">SUM(D30:F30)</f>
        <v>0</v>
      </c>
      <c r="H30" s="37">
        <f>SUM(G30:G34)</f>
        <v>233067</v>
      </c>
      <c r="I30" s="49">
        <v>432</v>
      </c>
      <c r="J30" s="49"/>
      <c r="K30" s="49">
        <v>375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86.321111111111108</v>
      </c>
      <c r="Q30" s="47" t="s">
        <v>40</v>
      </c>
      <c r="R30" s="104" t="s">
        <v>41</v>
      </c>
      <c r="S30" s="106" t="s">
        <v>41</v>
      </c>
    </row>
    <row r="31" spans="1:19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105"/>
      <c r="S31" s="105"/>
    </row>
    <row r="32" spans="1:19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105"/>
      <c r="S32" s="105"/>
    </row>
    <row r="33" spans="1:19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105"/>
      <c r="S33" s="105"/>
    </row>
    <row r="34" spans="1:19" ht="15" customHeight="1" x14ac:dyDescent="0.3">
      <c r="A34" s="50"/>
      <c r="B34" s="11" t="s">
        <v>72</v>
      </c>
      <c r="C34" s="36" t="s">
        <v>33</v>
      </c>
      <c r="D34" s="38">
        <v>83208</v>
      </c>
      <c r="E34" s="38">
        <v>76007</v>
      </c>
      <c r="F34" s="38">
        <v>73852</v>
      </c>
      <c r="G34" s="40">
        <f t="shared" ref="G34" si="21">SUM(D34:F34)</f>
        <v>233067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105"/>
      <c r="S34" s="105"/>
    </row>
    <row r="35" spans="1:19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7"/>
      <c r="S35" s="47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8">
        <v>48176</v>
      </c>
      <c r="E36" s="38">
        <v>77691</v>
      </c>
      <c r="F36" s="38">
        <v>74143</v>
      </c>
      <c r="G36" s="40">
        <f t="shared" ref="G36" si="22">SUM(D36:F36)</f>
        <v>200010</v>
      </c>
      <c r="H36" s="37">
        <f>SUM(G36:G40)</f>
        <v>200010</v>
      </c>
      <c r="I36" s="49">
        <v>380</v>
      </c>
      <c r="J36" s="49"/>
      <c r="K36" s="49">
        <v>379</v>
      </c>
      <c r="L36" s="49"/>
      <c r="M36" s="44">
        <f t="shared" ref="M36:O36" si="23">(100*D36)/$S$3</f>
        <v>53.528888888888886</v>
      </c>
      <c r="N36" s="44">
        <f t="shared" si="23"/>
        <v>86.323333333333338</v>
      </c>
      <c r="O36" s="44">
        <f t="shared" si="23"/>
        <v>82.38111111111111</v>
      </c>
      <c r="P36" s="44">
        <f t="shared" ref="P36" si="24">(H36*100)/$R$3</f>
        <v>74.077777777777783</v>
      </c>
      <c r="Q36" s="47" t="s">
        <v>37</v>
      </c>
      <c r="R36" s="47" t="s">
        <v>40</v>
      </c>
      <c r="S36" s="106" t="s">
        <v>41</v>
      </c>
    </row>
    <row r="37" spans="1:19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105"/>
    </row>
    <row r="38" spans="1:19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105"/>
    </row>
    <row r="39" spans="1:19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105"/>
    </row>
    <row r="40" spans="1:19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105"/>
    </row>
    <row r="41" spans="1:19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7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8">
        <v>43467</v>
      </c>
      <c r="E42" s="38">
        <v>75263</v>
      </c>
      <c r="F42" s="38">
        <v>72515</v>
      </c>
      <c r="G42" s="40">
        <f t="shared" ref="G42" si="27">SUM(D42:F42)</f>
        <v>191245</v>
      </c>
      <c r="H42" s="37">
        <f>SUM(G42:G46)</f>
        <v>191245</v>
      </c>
      <c r="I42" s="49">
        <v>376</v>
      </c>
      <c r="J42" s="49"/>
      <c r="K42" s="49">
        <v>380</v>
      </c>
      <c r="L42" s="49"/>
      <c r="M42" s="44">
        <f t="shared" ref="M42:O42" si="28">(100*D42)/$S$3</f>
        <v>48.296666666666667</v>
      </c>
      <c r="N42" s="44">
        <f t="shared" si="28"/>
        <v>83.62555555555555</v>
      </c>
      <c r="O42" s="44">
        <f t="shared" si="28"/>
        <v>80.572222222222223</v>
      </c>
      <c r="P42" s="44">
        <f>(H42*100)/$R$3</f>
        <v>70.831481481481475</v>
      </c>
      <c r="Q42" s="47" t="s">
        <v>37</v>
      </c>
      <c r="R42" s="47" t="s">
        <v>40</v>
      </c>
      <c r="S42" s="106" t="s">
        <v>41</v>
      </c>
    </row>
    <row r="43" spans="1:19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105"/>
    </row>
    <row r="44" spans="1:19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105"/>
    </row>
    <row r="45" spans="1:19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105"/>
    </row>
    <row r="46" spans="1:19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105"/>
    </row>
    <row r="47" spans="1:19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7"/>
    </row>
    <row r="48" spans="1:19" ht="15" thickBot="1" x14ac:dyDescent="0.35">
      <c r="C48" s="29" t="s">
        <v>19</v>
      </c>
      <c r="D48" s="31">
        <f>SUM(D6:D47)</f>
        <v>492171</v>
      </c>
      <c r="E48" s="31">
        <f>SUM(E6:E47)</f>
        <v>522134</v>
      </c>
      <c r="F48" s="31">
        <f>SUM(F6:F47)</f>
        <v>476610</v>
      </c>
      <c r="G48" s="31">
        <f>SUM(G6:G46)</f>
        <v>1490915</v>
      </c>
      <c r="H48" s="31">
        <f>SUM(H6:H47)</f>
        <v>1490915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97"/>
      <c r="M50" s="97"/>
      <c r="N50" s="16"/>
      <c r="O50" s="15"/>
      <c r="P50" s="16"/>
    </row>
    <row r="51" spans="3:16" x14ac:dyDescent="0.3">
      <c r="J51" s="15">
        <v>7</v>
      </c>
      <c r="K51" s="16" t="s">
        <v>61</v>
      </c>
      <c r="L51" s="97"/>
      <c r="M51" s="97"/>
      <c r="N51" s="16"/>
      <c r="O51" s="15"/>
      <c r="P51" s="16"/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44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67">
        <v>80023</v>
      </c>
      <c r="E6" s="67">
        <v>70003</v>
      </c>
      <c r="F6" s="67">
        <v>66723</v>
      </c>
      <c r="G6" s="40">
        <f>SUM(D6:F6)</f>
        <v>216749</v>
      </c>
      <c r="H6" s="37">
        <f>SUM(G6:G10)</f>
        <v>216749</v>
      </c>
      <c r="I6" s="37">
        <v>421</v>
      </c>
      <c r="J6" s="37">
        <v>398</v>
      </c>
      <c r="K6" s="37">
        <v>380</v>
      </c>
      <c r="L6" s="37"/>
      <c r="M6" s="44">
        <f>(100*D6)/$S$3</f>
        <v>88.914444444444442</v>
      </c>
      <c r="N6" s="44">
        <f t="shared" ref="N6:O6" si="0">(100*E6)/$S$3</f>
        <v>77.781111111111116</v>
      </c>
      <c r="O6" s="44">
        <f t="shared" si="0"/>
        <v>74.13666666666667</v>
      </c>
      <c r="P6" s="44">
        <f>(H6*100)/$R$3</f>
        <v>80.277407407407409</v>
      </c>
      <c r="Q6" s="47" t="s">
        <v>38</v>
      </c>
      <c r="R6" s="47" t="s">
        <v>40</v>
      </c>
      <c r="S6" s="47" t="s">
        <v>40</v>
      </c>
    </row>
    <row r="7" spans="1:19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47"/>
      <c r="S7" s="47"/>
    </row>
    <row r="8" spans="1:19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48"/>
      <c r="S8" s="48"/>
    </row>
    <row r="9" spans="1:19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48"/>
      <c r="S9" s="48"/>
    </row>
    <row r="10" spans="1:19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48"/>
      <c r="S10" s="48"/>
    </row>
    <row r="11" spans="1:19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8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8">
        <v>72095</v>
      </c>
      <c r="E12" s="38">
        <v>63129</v>
      </c>
      <c r="F12" s="38">
        <v>65688</v>
      </c>
      <c r="G12" s="40">
        <f t="shared" ref="G12" si="3">SUM(D12:F12)</f>
        <v>200912</v>
      </c>
      <c r="H12" s="37">
        <f>SUM(G12:G16)</f>
        <v>200912</v>
      </c>
      <c r="I12" s="49">
        <v>416</v>
      </c>
      <c r="J12" s="49">
        <v>363</v>
      </c>
      <c r="K12" s="49">
        <v>379</v>
      </c>
      <c r="L12" s="49"/>
      <c r="M12" s="44">
        <f>(100*D12)/$S$3</f>
        <v>80.105555555555554</v>
      </c>
      <c r="N12" s="44">
        <f t="shared" ref="N12:O12" si="4">(100*E12)/$S$3</f>
        <v>70.143333333333331</v>
      </c>
      <c r="O12" s="44">
        <f t="shared" si="4"/>
        <v>72.986666666666665</v>
      </c>
      <c r="P12" s="44">
        <f>(H12*100)/$R$3</f>
        <v>74.41185185185185</v>
      </c>
      <c r="Q12" s="47" t="s">
        <v>38</v>
      </c>
      <c r="R12" s="104" t="s">
        <v>46</v>
      </c>
      <c r="S12" s="47" t="s">
        <v>40</v>
      </c>
    </row>
    <row r="13" spans="1:19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107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108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8">
        <v>77072</v>
      </c>
      <c r="E18" s="38">
        <v>71557</v>
      </c>
      <c r="F18" s="38">
        <v>69761</v>
      </c>
      <c r="G18" s="40">
        <f t="shared" ref="G18" si="7">SUM(D18:F18)</f>
        <v>218390</v>
      </c>
      <c r="H18" s="37">
        <f>SUM(G18:G22)</f>
        <v>218390</v>
      </c>
      <c r="I18" s="49"/>
      <c r="J18" s="49"/>
      <c r="K18" s="49"/>
      <c r="L18" s="49"/>
      <c r="M18" s="44">
        <f t="shared" ref="M18:O18" si="8">(100*D18)/$S$3</f>
        <v>85.635555555555555</v>
      </c>
      <c r="N18" s="44">
        <f t="shared" si="8"/>
        <v>79.507777777777775</v>
      </c>
      <c r="O18" s="44">
        <f t="shared" si="8"/>
        <v>77.512222222222221</v>
      </c>
      <c r="P18" s="44">
        <f t="shared" ref="P18" si="9">(H18*100)/$R$3</f>
        <v>80.885185185185179</v>
      </c>
      <c r="Q18" s="47" t="s">
        <v>38</v>
      </c>
      <c r="R18" s="47" t="s">
        <v>40</v>
      </c>
      <c r="S18" s="47" t="s">
        <v>40</v>
      </c>
    </row>
    <row r="19" spans="1:19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>SUM(G24:G28)</f>
        <v>214184</v>
      </c>
      <c r="I24" s="49">
        <v>420</v>
      </c>
      <c r="J24" s="49">
        <v>395</v>
      </c>
      <c r="K24" s="49">
        <v>377</v>
      </c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79.327407407407406</v>
      </c>
      <c r="Q24" s="47" t="s">
        <v>39</v>
      </c>
      <c r="R24" s="47" t="s">
        <v>40</v>
      </c>
      <c r="S24" s="47" t="s">
        <v>40</v>
      </c>
    </row>
    <row r="25" spans="1:19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 t="s">
        <v>33</v>
      </c>
      <c r="D28" s="38">
        <v>76144</v>
      </c>
      <c r="E28" s="38">
        <v>70654</v>
      </c>
      <c r="F28" s="38">
        <v>67386</v>
      </c>
      <c r="G28" s="40">
        <f t="shared" ref="G28" si="16">SUM(D28:F28)</f>
        <v>214184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7">SUM(D30:F30)</f>
        <v>0</v>
      </c>
      <c r="H30" s="37">
        <f>SUM(G30:G34)</f>
        <v>219815</v>
      </c>
      <c r="I30" s="49">
        <v>421</v>
      </c>
      <c r="J30" s="49">
        <v>393</v>
      </c>
      <c r="K30" s="49">
        <v>377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81.412962962962965</v>
      </c>
      <c r="Q30" s="47" t="s">
        <v>40</v>
      </c>
      <c r="R30" s="47" t="s">
        <v>40</v>
      </c>
      <c r="S30" s="47" t="s">
        <v>40</v>
      </c>
    </row>
    <row r="31" spans="1:19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 t="s">
        <v>33</v>
      </c>
      <c r="D34" s="38">
        <v>77913</v>
      </c>
      <c r="E34" s="38">
        <v>72427</v>
      </c>
      <c r="F34" s="38">
        <v>69475</v>
      </c>
      <c r="G34" s="40">
        <f t="shared" ref="G34" si="21">SUM(D34:F34)</f>
        <v>219815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8">
        <v>69898</v>
      </c>
      <c r="E36" s="38"/>
      <c r="F36" s="38">
        <v>35967</v>
      </c>
      <c r="G36" s="40">
        <f t="shared" ref="G36" si="22">SUM(D36:F36)</f>
        <v>105865</v>
      </c>
      <c r="H36" s="37">
        <f>SUM(G36:G40)</f>
        <v>105865</v>
      </c>
      <c r="I36" s="49">
        <v>369</v>
      </c>
      <c r="J36" s="49"/>
      <c r="K36" s="49">
        <v>190</v>
      </c>
      <c r="L36" s="49"/>
      <c r="M36" s="44">
        <f t="shared" ref="M36:O36" si="23">(100*D36)/$S$3</f>
        <v>77.664444444444442</v>
      </c>
      <c r="N36" s="44">
        <f t="shared" si="23"/>
        <v>0</v>
      </c>
      <c r="O36" s="44">
        <f t="shared" si="23"/>
        <v>39.963333333333331</v>
      </c>
      <c r="P36" s="44">
        <f t="shared" ref="P36" si="24">(H36*100)/$R$3</f>
        <v>39.209259259259262</v>
      </c>
      <c r="Q36" s="47" t="s">
        <v>45</v>
      </c>
      <c r="R36" s="47" t="s">
        <v>47</v>
      </c>
      <c r="S36" s="106" t="s">
        <v>48</v>
      </c>
    </row>
    <row r="37" spans="1:19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105"/>
    </row>
    <row r="38" spans="1:19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105"/>
    </row>
    <row r="39" spans="1:19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105"/>
    </row>
    <row r="40" spans="1:19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105"/>
    </row>
    <row r="41" spans="1:19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7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8">
        <v>69145</v>
      </c>
      <c r="E42" s="38"/>
      <c r="F42" s="38">
        <v>35262</v>
      </c>
      <c r="G42" s="40">
        <f t="shared" ref="G42" si="27">SUM(D42:F42)</f>
        <v>104407</v>
      </c>
      <c r="H42" s="37">
        <f>SUM(G42:G46)</f>
        <v>104407</v>
      </c>
      <c r="I42" s="49">
        <v>373</v>
      </c>
      <c r="J42" s="49"/>
      <c r="K42" s="49">
        <v>190</v>
      </c>
      <c r="L42" s="49"/>
      <c r="M42" s="44">
        <f t="shared" ref="M42:O42" si="28">(100*D42)/$S$3</f>
        <v>76.827777777777783</v>
      </c>
      <c r="N42" s="44">
        <f t="shared" si="28"/>
        <v>0</v>
      </c>
      <c r="O42" s="44">
        <f t="shared" si="28"/>
        <v>39.18</v>
      </c>
      <c r="P42" s="44">
        <f>(H42*100)/$R$3</f>
        <v>38.669259259259256</v>
      </c>
      <c r="Q42" s="47" t="s">
        <v>45</v>
      </c>
      <c r="R42" s="47" t="s">
        <v>47</v>
      </c>
      <c r="S42" s="106" t="s">
        <v>48</v>
      </c>
    </row>
    <row r="43" spans="1:19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105"/>
    </row>
    <row r="44" spans="1:19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105"/>
    </row>
    <row r="45" spans="1:19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105"/>
    </row>
    <row r="46" spans="1:19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105"/>
    </row>
    <row r="47" spans="1:19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7"/>
    </row>
    <row r="48" spans="1:19" ht="15" thickBot="1" x14ac:dyDescent="0.35">
      <c r="C48" s="29" t="s">
        <v>19</v>
      </c>
      <c r="D48" s="31">
        <f>SUM(D6:D47)</f>
        <v>522290</v>
      </c>
      <c r="E48" s="31">
        <f>SUM(E6:E47)</f>
        <v>347770</v>
      </c>
      <c r="F48" s="31">
        <f>SUM(F6:F47)</f>
        <v>410262</v>
      </c>
      <c r="G48" s="31">
        <f>SUM(G6:G46)</f>
        <v>1280322</v>
      </c>
      <c r="H48" s="31">
        <f>SUM(H6:H47)</f>
        <v>1280322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97">
        <v>6</v>
      </c>
      <c r="M50" s="97"/>
      <c r="N50" s="16" t="s">
        <v>104</v>
      </c>
      <c r="O50" s="15">
        <v>6</v>
      </c>
      <c r="P50" s="16" t="s">
        <v>61</v>
      </c>
    </row>
    <row r="51" spans="3:16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61</v>
      </c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zoomScale="85" zoomScaleNormal="85" workbookViewId="0">
      <selection activeCell="B6" sqref="B6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49</v>
      </c>
      <c r="T1" s="87"/>
    </row>
    <row r="2" spans="1:20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9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6">
        <v>1</v>
      </c>
      <c r="B6" s="10" t="s">
        <v>116</v>
      </c>
      <c r="C6" s="40" t="s">
        <v>12</v>
      </c>
      <c r="D6" s="67">
        <v>74148</v>
      </c>
      <c r="E6" s="67">
        <v>69003</v>
      </c>
      <c r="F6" s="67">
        <v>70027</v>
      </c>
      <c r="G6" s="40">
        <f>SUM(D6:F6)</f>
        <v>213178</v>
      </c>
      <c r="H6" s="37">
        <f>SUM(G6:G10)</f>
        <v>213178</v>
      </c>
      <c r="I6" s="37"/>
      <c r="J6" s="37">
        <v>393</v>
      </c>
      <c r="K6" s="37">
        <v>384</v>
      </c>
      <c r="L6" s="37"/>
      <c r="M6" s="44">
        <f>(100*D6)/$T$3</f>
        <v>82.38666666666667</v>
      </c>
      <c r="N6" s="44">
        <f t="shared" ref="N6:O6" si="0">(100*E6)/$T$3</f>
        <v>76.67</v>
      </c>
      <c r="O6" s="44">
        <f t="shared" si="0"/>
        <v>77.807777777777773</v>
      </c>
      <c r="P6" s="44">
        <f>(H6*100)/$S$3</f>
        <v>78.95481481481481</v>
      </c>
      <c r="Q6" s="57"/>
      <c r="R6" s="47" t="s">
        <v>55</v>
      </c>
      <c r="S6" s="47" t="s">
        <v>55</v>
      </c>
      <c r="T6" s="47" t="s">
        <v>55</v>
      </c>
    </row>
    <row r="7" spans="1:20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52"/>
      <c r="R7" s="47"/>
      <c r="S7" s="47"/>
      <c r="T7" s="47"/>
    </row>
    <row r="8" spans="1:20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52"/>
      <c r="R8" s="48"/>
      <c r="S8" s="48"/>
      <c r="T8" s="48"/>
    </row>
    <row r="9" spans="1:20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52"/>
      <c r="R9" s="48"/>
      <c r="S9" s="48"/>
      <c r="T9" s="48"/>
    </row>
    <row r="10" spans="1:20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52"/>
      <c r="R10" s="48"/>
      <c r="S10" s="48"/>
      <c r="T10" s="48"/>
    </row>
    <row r="11" spans="1:20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4"/>
      <c r="R11" s="48"/>
      <c r="S11" s="48"/>
      <c r="T11" s="48"/>
    </row>
    <row r="12" spans="1:20" ht="15" customHeight="1" x14ac:dyDescent="0.3">
      <c r="A12" s="50">
        <v>2</v>
      </c>
      <c r="B12" s="10" t="s">
        <v>116</v>
      </c>
      <c r="C12" s="36" t="s">
        <v>12</v>
      </c>
      <c r="D12" s="38">
        <v>73059</v>
      </c>
      <c r="E12" s="38">
        <v>67022</v>
      </c>
      <c r="F12" s="38">
        <v>70043</v>
      </c>
      <c r="G12" s="40">
        <f t="shared" ref="G12" si="3">SUM(D12:F12)</f>
        <v>210124</v>
      </c>
      <c r="H12" s="37">
        <f>SUM(G12:G16)</f>
        <v>210124</v>
      </c>
      <c r="I12" s="49">
        <v>422</v>
      </c>
      <c r="J12" s="49">
        <v>385</v>
      </c>
      <c r="K12" s="49">
        <v>389</v>
      </c>
      <c r="L12" s="49"/>
      <c r="M12" s="44">
        <f>(100*D12)/$T$3</f>
        <v>81.176666666666662</v>
      </c>
      <c r="N12" s="44">
        <f t="shared" ref="N12:O12" si="4">(100*E12)/$T$3</f>
        <v>74.468888888888884</v>
      </c>
      <c r="O12" s="44">
        <f t="shared" si="4"/>
        <v>77.825555555555553</v>
      </c>
      <c r="P12" s="44">
        <f>(H12*100)/$S$3</f>
        <v>77.8237037037037</v>
      </c>
      <c r="Q12" s="57"/>
      <c r="R12" s="47" t="s">
        <v>55</v>
      </c>
      <c r="S12" s="104" t="s">
        <v>52</v>
      </c>
      <c r="T12" s="47" t="s">
        <v>55</v>
      </c>
    </row>
    <row r="13" spans="1:20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52"/>
      <c r="R13" s="47"/>
      <c r="S13" s="105"/>
      <c r="T13" s="47"/>
    </row>
    <row r="14" spans="1:20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52"/>
      <c r="R14" s="48"/>
      <c r="S14" s="105"/>
      <c r="T14" s="48"/>
    </row>
    <row r="15" spans="1:20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52"/>
      <c r="R15" s="48"/>
      <c r="S15" s="105"/>
      <c r="T15" s="48"/>
    </row>
    <row r="16" spans="1:20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52"/>
      <c r="R16" s="48"/>
      <c r="S16" s="105"/>
      <c r="T16" s="48"/>
    </row>
    <row r="17" spans="1:20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4"/>
      <c r="R17" s="48"/>
      <c r="S17" s="47"/>
      <c r="T17" s="48"/>
    </row>
    <row r="18" spans="1:20" ht="15" customHeight="1" x14ac:dyDescent="0.3">
      <c r="A18" s="50">
        <v>3</v>
      </c>
      <c r="B18" s="10" t="s">
        <v>116</v>
      </c>
      <c r="C18" s="36" t="s">
        <v>12</v>
      </c>
      <c r="D18" s="38">
        <v>74355</v>
      </c>
      <c r="E18" s="38">
        <v>73182</v>
      </c>
      <c r="F18" s="38">
        <v>75244</v>
      </c>
      <c r="G18" s="40">
        <f t="shared" ref="G18" si="7">SUM(D18:F18)</f>
        <v>222781</v>
      </c>
      <c r="H18" s="37">
        <f>SUM(G18:G22)</f>
        <v>222781</v>
      </c>
      <c r="I18" s="49"/>
      <c r="J18" s="49"/>
      <c r="K18" s="49"/>
      <c r="L18" s="49"/>
      <c r="M18" s="44">
        <f t="shared" ref="M18:O18" si="8">(100*D18)/$T$3</f>
        <v>82.61666666666666</v>
      </c>
      <c r="N18" s="44">
        <f t="shared" si="8"/>
        <v>81.313333333333333</v>
      </c>
      <c r="O18" s="44">
        <f t="shared" si="8"/>
        <v>83.604444444444439</v>
      </c>
      <c r="P18" s="44">
        <f t="shared" ref="P18" si="9">(H18*100)/$S$3</f>
        <v>82.511481481481482</v>
      </c>
      <c r="Q18" s="57"/>
      <c r="R18" s="47" t="s">
        <v>55</v>
      </c>
      <c r="S18" s="47" t="s">
        <v>55</v>
      </c>
      <c r="T18" s="47" t="s">
        <v>55</v>
      </c>
    </row>
    <row r="19" spans="1:20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52"/>
      <c r="R19" s="47"/>
      <c r="S19" s="47"/>
      <c r="T19" s="47"/>
    </row>
    <row r="20" spans="1:20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52"/>
      <c r="R20" s="48"/>
      <c r="S20" s="48"/>
      <c r="T20" s="48"/>
    </row>
    <row r="21" spans="1:20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52"/>
      <c r="R21" s="48"/>
      <c r="S21" s="48"/>
      <c r="T21" s="48"/>
    </row>
    <row r="22" spans="1:20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52"/>
      <c r="R22" s="48"/>
      <c r="S22" s="48"/>
      <c r="T22" s="48"/>
    </row>
    <row r="23" spans="1:20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4"/>
      <c r="R23" s="48"/>
      <c r="S23" s="48"/>
      <c r="T23" s="48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 t="shared" ref="H24" si="13">SUM(G24:G29)</f>
        <v>216111</v>
      </c>
      <c r="I24" s="49">
        <v>422</v>
      </c>
      <c r="J24" s="49">
        <v>393</v>
      </c>
      <c r="K24" s="49">
        <v>385</v>
      </c>
      <c r="L24" s="49"/>
      <c r="M24" s="44">
        <f t="shared" ref="M24:O24" si="14">(100*D24)/$T$3</f>
        <v>0</v>
      </c>
      <c r="N24" s="44">
        <f t="shared" si="14"/>
        <v>0</v>
      </c>
      <c r="O24" s="44">
        <f t="shared" si="14"/>
        <v>0</v>
      </c>
      <c r="P24" s="44">
        <f t="shared" ref="P24" si="15">(H24*100)/$S$3</f>
        <v>80.041111111111107</v>
      </c>
      <c r="Q24" s="57"/>
      <c r="R24" s="47" t="s">
        <v>55</v>
      </c>
      <c r="S24" s="47" t="s">
        <v>55</v>
      </c>
      <c r="T24" s="47" t="s">
        <v>55</v>
      </c>
    </row>
    <row r="25" spans="1:20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52"/>
      <c r="R25" s="47"/>
      <c r="S25" s="47"/>
      <c r="T25" s="47"/>
    </row>
    <row r="26" spans="1:20" ht="15" customHeight="1" x14ac:dyDescent="0.3">
      <c r="A26" s="50"/>
      <c r="B26" s="11" t="s">
        <v>73</v>
      </c>
      <c r="C26" s="36"/>
      <c r="D26" s="38"/>
      <c r="E26" s="38"/>
      <c r="F26" s="38"/>
      <c r="G26" s="40">
        <f t="shared" ref="G26" si="16">SUM(D26:F26)</f>
        <v>0</v>
      </c>
      <c r="H26" s="37"/>
      <c r="I26" s="49"/>
      <c r="J26" s="49"/>
      <c r="K26" s="49"/>
      <c r="L26" s="49"/>
      <c r="M26" s="44"/>
      <c r="N26" s="44"/>
      <c r="O26" s="44"/>
      <c r="P26" s="44"/>
      <c r="Q26" s="52"/>
      <c r="R26" s="47"/>
      <c r="S26" s="47"/>
      <c r="T26" s="47"/>
    </row>
    <row r="27" spans="1:20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37"/>
      <c r="I27" s="49"/>
      <c r="J27" s="49"/>
      <c r="K27" s="49"/>
      <c r="L27" s="49"/>
      <c r="M27" s="44"/>
      <c r="N27" s="44"/>
      <c r="O27" s="44"/>
      <c r="P27" s="44"/>
      <c r="Q27" s="52"/>
      <c r="R27" s="47"/>
      <c r="S27" s="47"/>
      <c r="T27" s="47"/>
    </row>
    <row r="28" spans="1:20" ht="15" customHeight="1" x14ac:dyDescent="0.3">
      <c r="A28" s="50"/>
      <c r="B28" s="11" t="s">
        <v>72</v>
      </c>
      <c r="C28" s="36" t="s">
        <v>33</v>
      </c>
      <c r="D28" s="38">
        <v>74446</v>
      </c>
      <c r="E28" s="38">
        <v>70319</v>
      </c>
      <c r="F28" s="38">
        <v>71346</v>
      </c>
      <c r="G28" s="40">
        <f t="shared" ref="G28" si="17">SUM(D28:F28)</f>
        <v>216111</v>
      </c>
      <c r="H28" s="49"/>
      <c r="I28" s="49"/>
      <c r="J28" s="49"/>
      <c r="K28" s="49"/>
      <c r="L28" s="49"/>
      <c r="M28" s="45"/>
      <c r="N28" s="45"/>
      <c r="O28" s="45"/>
      <c r="P28" s="45"/>
      <c r="Q28" s="52"/>
      <c r="R28" s="48"/>
      <c r="S28" s="48"/>
      <c r="T28" s="48"/>
    </row>
    <row r="29" spans="1:20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4"/>
      <c r="R29" s="48"/>
      <c r="S29" s="48"/>
      <c r="T29" s="48"/>
    </row>
    <row r="30" spans="1:20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8">SUM(D30:F30)</f>
        <v>0</v>
      </c>
      <c r="H30" s="37">
        <f>SUM(G30:G34)</f>
        <v>225569</v>
      </c>
      <c r="I30" s="49">
        <v>423</v>
      </c>
      <c r="J30" s="49">
        <v>400</v>
      </c>
      <c r="K30" s="49">
        <v>387</v>
      </c>
      <c r="L30" s="49"/>
      <c r="M30" s="44">
        <f t="shared" ref="M30:O30" si="19">(100*D30)/$T$3</f>
        <v>0</v>
      </c>
      <c r="N30" s="44">
        <f t="shared" si="19"/>
        <v>0</v>
      </c>
      <c r="O30" s="44">
        <f t="shared" si="19"/>
        <v>0</v>
      </c>
      <c r="P30" s="44">
        <f t="shared" ref="P30" si="20">(H30*100)/$S$3</f>
        <v>83.544074074074075</v>
      </c>
      <c r="Q30" s="57"/>
      <c r="R30" s="47" t="s">
        <v>55</v>
      </c>
      <c r="S30" s="47" t="s">
        <v>55</v>
      </c>
      <c r="T30" s="47" t="s">
        <v>55</v>
      </c>
    </row>
    <row r="31" spans="1:20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52"/>
      <c r="R31" s="47"/>
      <c r="S31" s="47"/>
      <c r="T31" s="47"/>
    </row>
    <row r="32" spans="1:20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1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52"/>
      <c r="R32" s="48"/>
      <c r="S32" s="48"/>
      <c r="T32" s="48"/>
    </row>
    <row r="33" spans="1:20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52"/>
      <c r="R33" s="48"/>
      <c r="S33" s="48"/>
      <c r="T33" s="48"/>
    </row>
    <row r="34" spans="1:20" ht="15" customHeight="1" x14ac:dyDescent="0.3">
      <c r="A34" s="50"/>
      <c r="B34" s="11" t="s">
        <v>72</v>
      </c>
      <c r="C34" s="36" t="s">
        <v>33</v>
      </c>
      <c r="D34" s="38">
        <v>78004</v>
      </c>
      <c r="E34" s="38">
        <v>73662</v>
      </c>
      <c r="F34" s="38">
        <v>73903</v>
      </c>
      <c r="G34" s="40">
        <f t="shared" ref="G34" si="22">SUM(D34:F34)</f>
        <v>225569</v>
      </c>
      <c r="H34" s="49"/>
      <c r="I34" s="49"/>
      <c r="J34" s="49"/>
      <c r="K34" s="49"/>
      <c r="L34" s="49"/>
      <c r="M34" s="45"/>
      <c r="N34" s="45"/>
      <c r="O34" s="45"/>
      <c r="P34" s="45"/>
      <c r="Q34" s="52"/>
      <c r="R34" s="48"/>
      <c r="S34" s="48"/>
      <c r="T34" s="48"/>
    </row>
    <row r="35" spans="1:20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4"/>
      <c r="R35" s="48"/>
      <c r="S35" s="48"/>
      <c r="T35" s="48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>
        <v>56201</v>
      </c>
      <c r="E36" s="38"/>
      <c r="F36" s="38">
        <v>40860</v>
      </c>
      <c r="G36" s="40">
        <f t="shared" ref="G36" si="23">SUM(D36:F36)</f>
        <v>97061</v>
      </c>
      <c r="H36" s="37">
        <f>SUM(G36:G40)</f>
        <v>97061</v>
      </c>
      <c r="I36" s="49">
        <v>297</v>
      </c>
      <c r="J36" s="49"/>
      <c r="K36" s="49">
        <v>216</v>
      </c>
      <c r="L36" s="49"/>
      <c r="M36" s="44">
        <f t="shared" ref="M36:O36" si="24">(100*D36)/$T$3</f>
        <v>62.445555555555558</v>
      </c>
      <c r="N36" s="44">
        <f t="shared" si="24"/>
        <v>0</v>
      </c>
      <c r="O36" s="44">
        <f t="shared" si="24"/>
        <v>45.4</v>
      </c>
      <c r="P36" s="44">
        <f t="shared" ref="P36" si="25">(H36*100)/$S$3</f>
        <v>35.948518518518519</v>
      </c>
      <c r="Q36" s="57"/>
      <c r="R36" s="47" t="s">
        <v>50</v>
      </c>
      <c r="S36" s="47" t="s">
        <v>53</v>
      </c>
      <c r="T36" s="106" t="s">
        <v>54</v>
      </c>
    </row>
    <row r="37" spans="1:20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52"/>
      <c r="R37" s="47"/>
      <c r="S37" s="47"/>
      <c r="T37" s="105"/>
    </row>
    <row r="38" spans="1:20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6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52"/>
      <c r="R38" s="48"/>
      <c r="S38" s="48"/>
      <c r="T38" s="105"/>
    </row>
    <row r="39" spans="1:20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52"/>
      <c r="R39" s="48"/>
      <c r="S39" s="48"/>
      <c r="T39" s="105"/>
    </row>
    <row r="40" spans="1:20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7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52"/>
      <c r="R40" s="48"/>
      <c r="S40" s="48"/>
      <c r="T40" s="105"/>
    </row>
    <row r="41" spans="1:20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4"/>
      <c r="R41" s="48"/>
      <c r="S41" s="48"/>
      <c r="T41" s="47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>
        <v>74365</v>
      </c>
      <c r="E42" s="38"/>
      <c r="F42" s="38">
        <v>40633</v>
      </c>
      <c r="G42" s="40">
        <f t="shared" ref="G42" si="28">SUM(D42:F42)</f>
        <v>114998</v>
      </c>
      <c r="H42" s="37">
        <f>SUM(G42:G46)</f>
        <v>114998</v>
      </c>
      <c r="I42" s="49">
        <v>403</v>
      </c>
      <c r="J42" s="49"/>
      <c r="K42" s="49">
        <v>219</v>
      </c>
      <c r="L42" s="49"/>
      <c r="M42" s="44">
        <f t="shared" ref="M42:O42" si="29">(100*D42)/$T$3</f>
        <v>82.62777777777778</v>
      </c>
      <c r="N42" s="44">
        <f t="shared" si="29"/>
        <v>0</v>
      </c>
      <c r="O42" s="44">
        <f t="shared" si="29"/>
        <v>45.147777777777776</v>
      </c>
      <c r="P42" s="44">
        <f>(H42*100)/$S$3</f>
        <v>42.59185185185185</v>
      </c>
      <c r="Q42" s="57"/>
      <c r="R42" s="47" t="s">
        <v>51</v>
      </c>
      <c r="S42" s="47" t="s">
        <v>53</v>
      </c>
      <c r="T42" s="106" t="s">
        <v>54</v>
      </c>
    </row>
    <row r="43" spans="1:20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52"/>
      <c r="R43" s="47"/>
      <c r="S43" s="47"/>
      <c r="T43" s="105"/>
    </row>
    <row r="44" spans="1:20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30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52"/>
      <c r="R44" s="48"/>
      <c r="S44" s="48"/>
      <c r="T44" s="105"/>
    </row>
    <row r="45" spans="1:20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52"/>
      <c r="R45" s="48"/>
      <c r="S45" s="48"/>
      <c r="T45" s="105"/>
    </row>
    <row r="46" spans="1:20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1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52"/>
      <c r="R46" s="48"/>
      <c r="S46" s="48"/>
      <c r="T46" s="105"/>
    </row>
    <row r="47" spans="1:20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4"/>
      <c r="R47" s="48"/>
      <c r="S47" s="48"/>
      <c r="T47" s="47"/>
    </row>
    <row r="48" spans="1:20" ht="15" thickBot="1" x14ac:dyDescent="0.35">
      <c r="C48" s="29" t="s">
        <v>19</v>
      </c>
      <c r="D48" s="31">
        <f>SUM(D6:D47)</f>
        <v>504578</v>
      </c>
      <c r="E48" s="31">
        <f>SUM(E6:E47)</f>
        <v>353188</v>
      </c>
      <c r="F48" s="31">
        <f>SUM(F6:F47)</f>
        <v>442056</v>
      </c>
      <c r="G48" s="31">
        <f>SUM(G6:G46)</f>
        <v>1299822</v>
      </c>
      <c r="H48" s="31">
        <f>SUM(H6:H47)</f>
        <v>1299822</v>
      </c>
    </row>
    <row r="49" spans="3:17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  <c r="Q49" s="21"/>
    </row>
    <row r="50" spans="3:17" x14ac:dyDescent="0.3">
      <c r="J50" s="15">
        <v>6</v>
      </c>
      <c r="K50" s="16" t="s">
        <v>61</v>
      </c>
      <c r="L50" s="97">
        <v>6</v>
      </c>
      <c r="M50" s="97"/>
      <c r="N50" s="16" t="s">
        <v>104</v>
      </c>
      <c r="O50" s="15">
        <v>6</v>
      </c>
      <c r="P50" s="16" t="s">
        <v>61</v>
      </c>
      <c r="Q50" s="22"/>
    </row>
    <row r="51" spans="3:17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61</v>
      </c>
      <c r="Q51" s="22"/>
    </row>
    <row r="52" spans="3:17" x14ac:dyDescent="0.3">
      <c r="J52" s="13"/>
      <c r="K52" s="13"/>
      <c r="L52" s="98"/>
      <c r="M52" s="98"/>
      <c r="N52" s="13"/>
      <c r="O52" s="13"/>
      <c r="P52" s="13"/>
      <c r="Q52" s="23"/>
    </row>
    <row r="53" spans="3:17" x14ac:dyDescent="0.3">
      <c r="J53" s="14"/>
      <c r="K53" s="14"/>
      <c r="L53" s="14"/>
      <c r="M53" s="14"/>
      <c r="N53" s="14"/>
      <c r="O53" s="14"/>
      <c r="P53" s="14"/>
      <c r="Q53" s="24"/>
    </row>
    <row r="54" spans="3:17" x14ac:dyDescent="0.3">
      <c r="Q54" s="24"/>
    </row>
  </sheetData>
  <mergeCells count="227"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zoomScaleNormal="100" workbookViewId="0">
      <selection activeCell="B12" sqref="B12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62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9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6">
        <v>1</v>
      </c>
      <c r="B6" s="10" t="s">
        <v>116</v>
      </c>
      <c r="C6" s="40" t="s">
        <v>12</v>
      </c>
      <c r="D6" s="67">
        <v>74159</v>
      </c>
      <c r="E6" s="67">
        <v>75068</v>
      </c>
      <c r="F6" s="67">
        <v>79038</v>
      </c>
      <c r="G6" s="40">
        <f>SUM(D6:F6)</f>
        <v>228265</v>
      </c>
      <c r="H6" s="37">
        <f>SUM(G6:G10)</f>
        <v>228265</v>
      </c>
      <c r="I6" s="37">
        <v>422</v>
      </c>
      <c r="J6" s="37">
        <v>395</v>
      </c>
      <c r="K6" s="37">
        <v>416</v>
      </c>
      <c r="L6" s="37"/>
      <c r="M6" s="44">
        <f>(100*D6)/$T$3</f>
        <v>82.398888888888891</v>
      </c>
      <c r="N6" s="44">
        <f t="shared" ref="N6:O6" si="0">(100*E6)/$T$3</f>
        <v>83.408888888888896</v>
      </c>
      <c r="O6" s="44">
        <f t="shared" si="0"/>
        <v>87.82</v>
      </c>
      <c r="P6" s="44">
        <f>(H6*100)/$S$3</f>
        <v>84.542592592592598</v>
      </c>
      <c r="Q6" s="57"/>
      <c r="R6" s="47" t="s">
        <v>55</v>
      </c>
      <c r="S6" s="47" t="s">
        <v>64</v>
      </c>
      <c r="T6" s="47" t="s">
        <v>55</v>
      </c>
    </row>
    <row r="7" spans="1:20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52"/>
      <c r="R7" s="47"/>
      <c r="S7" s="47"/>
      <c r="T7" s="47"/>
    </row>
    <row r="8" spans="1:20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52"/>
      <c r="R8" s="48"/>
      <c r="S8" s="48"/>
      <c r="T8" s="48"/>
    </row>
    <row r="9" spans="1:20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52"/>
      <c r="R9" s="48"/>
      <c r="S9" s="48"/>
      <c r="T9" s="48"/>
    </row>
    <row r="10" spans="1:20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52"/>
      <c r="R10" s="48"/>
      <c r="S10" s="48"/>
      <c r="T10" s="48"/>
    </row>
    <row r="11" spans="1:20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4"/>
      <c r="R11" s="48"/>
      <c r="S11" s="48"/>
      <c r="T11" s="48"/>
    </row>
    <row r="12" spans="1:20" ht="15" customHeight="1" x14ac:dyDescent="0.3">
      <c r="A12" s="50">
        <v>2</v>
      </c>
      <c r="B12" s="10" t="s">
        <v>116</v>
      </c>
      <c r="C12" s="36" t="s">
        <v>12</v>
      </c>
      <c r="D12" s="38">
        <v>73013</v>
      </c>
      <c r="E12" s="38">
        <v>73359</v>
      </c>
      <c r="F12" s="38">
        <v>78104</v>
      </c>
      <c r="G12" s="40">
        <f t="shared" ref="G12" si="3">SUM(D12:F12)</f>
        <v>224476</v>
      </c>
      <c r="H12" s="37">
        <f>SUM(G12:G16)</f>
        <v>224476</v>
      </c>
      <c r="I12" s="49">
        <v>423</v>
      </c>
      <c r="J12" s="49">
        <v>391</v>
      </c>
      <c r="K12" s="49">
        <v>417</v>
      </c>
      <c r="L12" s="49"/>
      <c r="M12" s="44">
        <f>(100*D12)/$T$3</f>
        <v>81.12555555555555</v>
      </c>
      <c r="N12" s="44">
        <f t="shared" ref="N12:O12" si="4">(100*E12)/$T$3</f>
        <v>81.510000000000005</v>
      </c>
      <c r="O12" s="44">
        <f t="shared" si="4"/>
        <v>86.782222222222217</v>
      </c>
      <c r="P12" s="44">
        <f>(H12*100)/$S$3</f>
        <v>83.139259259259262</v>
      </c>
      <c r="Q12" s="57"/>
      <c r="R12" s="47" t="s">
        <v>55</v>
      </c>
      <c r="S12" s="47" t="s">
        <v>64</v>
      </c>
      <c r="T12" s="47" t="s">
        <v>55</v>
      </c>
    </row>
    <row r="13" spans="1:20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52"/>
      <c r="R13" s="47"/>
      <c r="S13" s="47"/>
      <c r="T13" s="47"/>
    </row>
    <row r="14" spans="1:20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37"/>
      <c r="I14" s="49"/>
      <c r="J14" s="49"/>
      <c r="K14" s="49"/>
      <c r="L14" s="49"/>
      <c r="M14" s="44"/>
      <c r="N14" s="44"/>
      <c r="O14" s="44"/>
      <c r="P14" s="44"/>
      <c r="Q14" s="52"/>
      <c r="R14" s="47"/>
      <c r="S14" s="47"/>
      <c r="T14" s="47"/>
    </row>
    <row r="15" spans="1:20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52"/>
      <c r="R15" s="48"/>
      <c r="S15" s="48"/>
      <c r="T15" s="48"/>
    </row>
    <row r="16" spans="1:20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52"/>
      <c r="R16" s="48"/>
      <c r="S16" s="48"/>
      <c r="T16" s="48"/>
    </row>
    <row r="17" spans="1:20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4"/>
      <c r="R17" s="48"/>
      <c r="S17" s="48"/>
      <c r="T17" s="48"/>
    </row>
    <row r="18" spans="1:20" ht="15" customHeight="1" x14ac:dyDescent="0.3">
      <c r="A18" s="54">
        <v>3</v>
      </c>
      <c r="B18" s="10" t="s">
        <v>116</v>
      </c>
      <c r="C18" s="36" t="s">
        <v>12</v>
      </c>
      <c r="D18" s="38">
        <v>76504</v>
      </c>
      <c r="E18" s="38">
        <v>80003</v>
      </c>
      <c r="F18" s="38">
        <v>80316</v>
      </c>
      <c r="G18" s="40">
        <f t="shared" ref="G18" si="7">SUM(D18:F18)</f>
        <v>236823</v>
      </c>
      <c r="H18" s="36">
        <f>SUM(G18:G22)</f>
        <v>236823</v>
      </c>
      <c r="I18" s="36"/>
      <c r="J18" s="36"/>
      <c r="K18" s="36"/>
      <c r="L18" s="36"/>
      <c r="M18" s="51">
        <f t="shared" ref="M18:O18" si="8">(100*D18)/$T$3</f>
        <v>85.004444444444445</v>
      </c>
      <c r="N18" s="51">
        <f t="shared" si="8"/>
        <v>88.892222222222216</v>
      </c>
      <c r="O18" s="51">
        <f t="shared" si="8"/>
        <v>89.24</v>
      </c>
      <c r="P18" s="51">
        <f t="shared" ref="P18" si="9">(H18*100)/$S$3</f>
        <v>87.712222222222223</v>
      </c>
      <c r="Q18" s="57"/>
      <c r="R18" s="104" t="s">
        <v>55</v>
      </c>
      <c r="S18" s="104" t="s">
        <v>55</v>
      </c>
      <c r="T18" s="104" t="s">
        <v>67</v>
      </c>
    </row>
    <row r="19" spans="1:20" ht="15" customHeight="1" thickBot="1" x14ac:dyDescent="0.35">
      <c r="A19" s="55"/>
      <c r="B19" s="10" t="s">
        <v>117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52"/>
      <c r="R19" s="105"/>
      <c r="S19" s="105"/>
      <c r="T19" s="105"/>
    </row>
    <row r="20" spans="1:20" ht="15" customHeight="1" x14ac:dyDescent="0.3">
      <c r="A20" s="55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52"/>
      <c r="R20" s="105"/>
      <c r="S20" s="105"/>
      <c r="T20" s="105"/>
    </row>
    <row r="21" spans="1:20" ht="15" customHeight="1" thickBot="1" x14ac:dyDescent="0.35">
      <c r="A21" s="55"/>
      <c r="B21" s="11" t="s">
        <v>74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52"/>
      <c r="R21" s="105"/>
      <c r="S21" s="105"/>
      <c r="T21" s="105"/>
    </row>
    <row r="22" spans="1:20" ht="15" customHeight="1" x14ac:dyDescent="0.3">
      <c r="A22" s="55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52"/>
      <c r="R22" s="105"/>
      <c r="S22" s="105"/>
      <c r="T22" s="105"/>
    </row>
    <row r="23" spans="1:20" ht="15" customHeight="1" thickBot="1" x14ac:dyDescent="0.35">
      <c r="A23" s="56"/>
      <c r="B23" s="11" t="s">
        <v>115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109"/>
      <c r="R23" s="47"/>
      <c r="S23" s="47"/>
      <c r="T23" s="47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/>
      <c r="E24" s="38">
        <v>77008</v>
      </c>
      <c r="F24" s="38">
        <v>80034</v>
      </c>
      <c r="G24" s="40">
        <f t="shared" ref="G24" si="12">SUM(D24:F24)</f>
        <v>157042</v>
      </c>
      <c r="H24" s="37">
        <f>SUM(G24:G28)</f>
        <v>232338</v>
      </c>
      <c r="I24" s="49">
        <v>423</v>
      </c>
      <c r="J24" s="49">
        <v>398</v>
      </c>
      <c r="K24" s="49">
        <v>414</v>
      </c>
      <c r="L24" s="49"/>
      <c r="M24" s="44">
        <f t="shared" ref="M24:O24" si="13">(100*D24)/$T$3</f>
        <v>0</v>
      </c>
      <c r="N24" s="44">
        <f t="shared" si="13"/>
        <v>85.564444444444447</v>
      </c>
      <c r="O24" s="44">
        <f t="shared" si="13"/>
        <v>88.926666666666662</v>
      </c>
      <c r="P24" s="44">
        <f t="shared" ref="P24" si="14">(H24*100)/$S$3</f>
        <v>86.051111111111112</v>
      </c>
      <c r="Q24" s="57"/>
      <c r="R24" s="47" t="s">
        <v>55</v>
      </c>
      <c r="S24" s="47" t="s">
        <v>55</v>
      </c>
      <c r="T24" s="104" t="s">
        <v>67</v>
      </c>
    </row>
    <row r="25" spans="1:20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52"/>
      <c r="R25" s="47"/>
      <c r="S25" s="47"/>
      <c r="T25" s="105"/>
    </row>
    <row r="26" spans="1:20" ht="15" customHeight="1" x14ac:dyDescent="0.3">
      <c r="A26" s="50"/>
      <c r="B26" s="11" t="s">
        <v>73</v>
      </c>
      <c r="C26" s="36"/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52"/>
      <c r="R26" s="48"/>
      <c r="S26" s="48"/>
      <c r="T26" s="105"/>
    </row>
    <row r="27" spans="1:20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52"/>
      <c r="R27" s="48"/>
      <c r="S27" s="48"/>
      <c r="T27" s="105"/>
    </row>
    <row r="28" spans="1:20" ht="15" customHeight="1" x14ac:dyDescent="0.3">
      <c r="A28" s="50"/>
      <c r="B28" s="11" t="s">
        <v>72</v>
      </c>
      <c r="C28" s="36" t="s">
        <v>33</v>
      </c>
      <c r="D28" s="38">
        <v>75296</v>
      </c>
      <c r="E28" s="38"/>
      <c r="F28" s="38"/>
      <c r="G28" s="40">
        <f t="shared" ref="G28" si="16">SUM(D28:F28)</f>
        <v>75296</v>
      </c>
      <c r="H28" s="49"/>
      <c r="I28" s="49"/>
      <c r="J28" s="49"/>
      <c r="K28" s="49"/>
      <c r="L28" s="49"/>
      <c r="M28" s="45"/>
      <c r="N28" s="45"/>
      <c r="O28" s="45"/>
      <c r="P28" s="45"/>
      <c r="Q28" s="52"/>
      <c r="R28" s="48"/>
      <c r="S28" s="48"/>
      <c r="T28" s="105"/>
    </row>
    <row r="29" spans="1:20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4"/>
      <c r="R29" s="48"/>
      <c r="S29" s="48"/>
      <c r="T29" s="47"/>
    </row>
    <row r="30" spans="1:20" ht="15" customHeight="1" x14ac:dyDescent="0.3">
      <c r="A30" s="50">
        <v>5</v>
      </c>
      <c r="B30" s="10" t="s">
        <v>116</v>
      </c>
      <c r="C30" s="36"/>
      <c r="D30" s="38"/>
      <c r="E30" s="38"/>
      <c r="F30" s="38"/>
      <c r="G30" s="40">
        <f t="shared" ref="G30" si="17">SUM(D30:F30)</f>
        <v>0</v>
      </c>
      <c r="H30" s="37">
        <f>SUM(G30:G34)</f>
        <v>237188</v>
      </c>
      <c r="I30" s="49">
        <v>425</v>
      </c>
      <c r="J30" s="49">
        <v>395</v>
      </c>
      <c r="K30" s="49">
        <v>404</v>
      </c>
      <c r="L30" s="49"/>
      <c r="M30" s="44">
        <f t="shared" ref="M30:O30" si="18">(100*D30)/$T$3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(H30*100)/$S$3</f>
        <v>87.847407407407403</v>
      </c>
      <c r="Q30" s="57"/>
      <c r="R30" s="47" t="s">
        <v>55</v>
      </c>
      <c r="S30" s="47" t="s">
        <v>55</v>
      </c>
      <c r="T30" s="104" t="s">
        <v>67</v>
      </c>
    </row>
    <row r="31" spans="1:20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52"/>
      <c r="R31" s="47"/>
      <c r="S31" s="47"/>
      <c r="T31" s="105"/>
    </row>
    <row r="32" spans="1:20" ht="15" customHeight="1" x14ac:dyDescent="0.3">
      <c r="A32" s="50"/>
      <c r="B32" s="11" t="s">
        <v>73</v>
      </c>
      <c r="C32" s="36"/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52"/>
      <c r="R32" s="48"/>
      <c r="S32" s="48"/>
      <c r="T32" s="105"/>
    </row>
    <row r="33" spans="1:20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52"/>
      <c r="R33" s="48"/>
      <c r="S33" s="48"/>
      <c r="T33" s="105"/>
    </row>
    <row r="34" spans="1:20" ht="15" customHeight="1" x14ac:dyDescent="0.3">
      <c r="A34" s="50"/>
      <c r="B34" s="11" t="s">
        <v>72</v>
      </c>
      <c r="C34" s="36" t="s">
        <v>33</v>
      </c>
      <c r="D34" s="38">
        <v>78296</v>
      </c>
      <c r="E34" s="38">
        <v>78810</v>
      </c>
      <c r="F34" s="38">
        <v>80082</v>
      </c>
      <c r="G34" s="40">
        <f t="shared" ref="G34" si="21">SUM(D34:F34)</f>
        <v>237188</v>
      </c>
      <c r="H34" s="49"/>
      <c r="I34" s="49"/>
      <c r="J34" s="49"/>
      <c r="K34" s="49"/>
      <c r="L34" s="49"/>
      <c r="M34" s="45"/>
      <c r="N34" s="45"/>
      <c r="O34" s="45"/>
      <c r="P34" s="45"/>
      <c r="Q34" s="52"/>
      <c r="R34" s="48"/>
      <c r="S34" s="48"/>
      <c r="T34" s="105"/>
    </row>
    <row r="35" spans="1:20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4"/>
      <c r="R35" s="48"/>
      <c r="S35" s="48"/>
      <c r="T35" s="47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>
        <v>80387</v>
      </c>
      <c r="E36" s="38">
        <v>39002</v>
      </c>
      <c r="F36" s="38">
        <v>79385</v>
      </c>
      <c r="G36" s="40">
        <f t="shared" ref="G36" si="22">SUM(D36:F36)</f>
        <v>198774</v>
      </c>
      <c r="H36" s="37">
        <f>SUM(G36:G40)</f>
        <v>198774</v>
      </c>
      <c r="I36" s="49">
        <v>425</v>
      </c>
      <c r="J36" s="49">
        <v>205</v>
      </c>
      <c r="K36" s="49">
        <v>420</v>
      </c>
      <c r="L36" s="49"/>
      <c r="M36" s="44">
        <f t="shared" ref="M36:O36" si="23">(100*D36)/$T$3</f>
        <v>89.318888888888893</v>
      </c>
      <c r="N36" s="44">
        <f t="shared" si="23"/>
        <v>43.335555555555558</v>
      </c>
      <c r="O36" s="44">
        <f t="shared" si="23"/>
        <v>88.205555555555549</v>
      </c>
      <c r="P36" s="44">
        <f t="shared" ref="P36" si="24">(H36*100)/$S$3</f>
        <v>73.62</v>
      </c>
      <c r="Q36" s="57"/>
      <c r="R36" s="47" t="s">
        <v>55</v>
      </c>
      <c r="S36" s="47" t="s">
        <v>65</v>
      </c>
      <c r="T36" s="47" t="s">
        <v>55</v>
      </c>
    </row>
    <row r="37" spans="1:20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52"/>
      <c r="R37" s="47"/>
      <c r="S37" s="47"/>
      <c r="T37" s="47"/>
    </row>
    <row r="38" spans="1:20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52"/>
      <c r="R38" s="48"/>
      <c r="S38" s="48"/>
      <c r="T38" s="48"/>
    </row>
    <row r="39" spans="1:20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52"/>
      <c r="R39" s="48"/>
      <c r="S39" s="48"/>
      <c r="T39" s="48"/>
    </row>
    <row r="40" spans="1:20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52"/>
      <c r="R40" s="48"/>
      <c r="S40" s="48"/>
      <c r="T40" s="48"/>
    </row>
    <row r="41" spans="1:20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4"/>
      <c r="R41" s="48"/>
      <c r="S41" s="48"/>
      <c r="T41" s="48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>
        <v>59465</v>
      </c>
      <c r="E42" s="38">
        <v>35552</v>
      </c>
      <c r="F42" s="38">
        <v>78013</v>
      </c>
      <c r="G42" s="40">
        <f t="shared" ref="G42" si="27">SUM(D42:F42)</f>
        <v>173030</v>
      </c>
      <c r="H42" s="37">
        <f>SUM(G42:G46)</f>
        <v>173030</v>
      </c>
      <c r="I42" s="49">
        <v>321</v>
      </c>
      <c r="J42" s="49">
        <v>192</v>
      </c>
      <c r="K42" s="49">
        <v>422</v>
      </c>
      <c r="L42" s="49"/>
      <c r="M42" s="44">
        <f t="shared" ref="M42:O42" si="28">(100*D42)/$T$3</f>
        <v>66.072222222222223</v>
      </c>
      <c r="N42" s="44">
        <f t="shared" si="28"/>
        <v>39.502222222222223</v>
      </c>
      <c r="O42" s="44">
        <f t="shared" si="28"/>
        <v>86.681111111111107</v>
      </c>
      <c r="P42" s="44">
        <f>(H42*100)/$S$3</f>
        <v>64.085185185185182</v>
      </c>
      <c r="Q42" s="57"/>
      <c r="R42" s="47" t="s">
        <v>63</v>
      </c>
      <c r="S42" s="47" t="s">
        <v>66</v>
      </c>
      <c r="T42" s="47" t="s">
        <v>55</v>
      </c>
    </row>
    <row r="43" spans="1:20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52"/>
      <c r="R43" s="47"/>
      <c r="S43" s="47"/>
      <c r="T43" s="47"/>
    </row>
    <row r="44" spans="1:20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52"/>
      <c r="R44" s="48"/>
      <c r="S44" s="48"/>
      <c r="T44" s="48"/>
    </row>
    <row r="45" spans="1:20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52"/>
      <c r="R45" s="48"/>
      <c r="S45" s="48"/>
      <c r="T45" s="48"/>
    </row>
    <row r="46" spans="1:20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52"/>
      <c r="R46" s="48"/>
      <c r="S46" s="48"/>
      <c r="T46" s="48"/>
    </row>
    <row r="47" spans="1:20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4"/>
      <c r="R47" s="48"/>
      <c r="S47" s="48"/>
      <c r="T47" s="48"/>
    </row>
    <row r="48" spans="1:20" ht="15" thickBot="1" x14ac:dyDescent="0.35">
      <c r="C48" s="29" t="s">
        <v>19</v>
      </c>
      <c r="D48" s="31">
        <f>SUM(D6:D47)</f>
        <v>517120</v>
      </c>
      <c r="E48" s="31">
        <f>SUM(E6:E47)</f>
        <v>458802</v>
      </c>
      <c r="F48" s="31">
        <f>SUM(F6:F47)</f>
        <v>554972</v>
      </c>
      <c r="G48" s="31">
        <f>SUM(G6:G46)</f>
        <v>1530894</v>
      </c>
      <c r="H48" s="31">
        <f>SUM(H6:H47)</f>
        <v>1530894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7</v>
      </c>
      <c r="K50" s="18" t="s">
        <v>61</v>
      </c>
      <c r="L50" s="96">
        <v>6</v>
      </c>
      <c r="M50" s="96"/>
      <c r="N50" s="18" t="s">
        <v>61</v>
      </c>
      <c r="O50" s="18"/>
      <c r="P50" s="18"/>
      <c r="Q50" s="22"/>
    </row>
    <row r="51" spans="3:17" x14ac:dyDescent="0.3">
      <c r="J51" s="18"/>
      <c r="K51" s="18"/>
      <c r="L51" s="96">
        <v>7</v>
      </c>
      <c r="M51" s="96"/>
      <c r="N51" s="18" t="s">
        <v>61</v>
      </c>
      <c r="O51" s="18"/>
      <c r="P51" s="18"/>
      <c r="Q51" s="22"/>
    </row>
    <row r="52" spans="3:17" x14ac:dyDescent="0.3">
      <c r="J52" s="19"/>
      <c r="K52" s="19"/>
      <c r="L52" s="110"/>
      <c r="M52" s="110"/>
      <c r="N52" s="19"/>
      <c r="O52" s="19"/>
      <c r="P52" s="19"/>
      <c r="Q52" s="23"/>
    </row>
    <row r="53" spans="3:17" x14ac:dyDescent="0.3">
      <c r="J53" s="19"/>
      <c r="K53" s="19"/>
      <c r="L53" s="111"/>
      <c r="M53" s="112"/>
      <c r="N53" s="19"/>
      <c r="O53" s="19"/>
      <c r="P53" s="19"/>
      <c r="Q53" s="23"/>
    </row>
    <row r="54" spans="3:17" x14ac:dyDescent="0.3">
      <c r="Q54" s="24"/>
    </row>
  </sheetData>
  <mergeCells count="228"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zoomScale="85" zoomScaleNormal="85" workbookViewId="0">
      <selection activeCell="S24" sqref="S24:S2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68</v>
      </c>
      <c r="T1" s="87"/>
    </row>
    <row r="2" spans="1:20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0" t="s">
        <v>116</v>
      </c>
      <c r="C6" s="40" t="s">
        <v>12</v>
      </c>
      <c r="D6" s="67">
        <v>76111</v>
      </c>
      <c r="E6" s="67">
        <v>74419</v>
      </c>
      <c r="F6" s="67"/>
      <c r="G6" s="40">
        <f>SUM(D6:F6)</f>
        <v>150530</v>
      </c>
      <c r="H6" s="40">
        <f>SUM(G6:G10)</f>
        <v>150530</v>
      </c>
      <c r="I6" s="40">
        <v>401</v>
      </c>
      <c r="J6" s="40">
        <v>392</v>
      </c>
      <c r="K6" s="40"/>
      <c r="L6" s="40"/>
      <c r="M6" s="57">
        <f>(100*D6)/$T$3</f>
        <v>84.567777777777778</v>
      </c>
      <c r="N6" s="57">
        <f t="shared" ref="N6:O6" si="0">(100*E6)/$T$3</f>
        <v>82.687777777777782</v>
      </c>
      <c r="O6" s="57">
        <f t="shared" si="0"/>
        <v>0</v>
      </c>
      <c r="P6" s="57">
        <f>(H6*100)/$S$3</f>
        <v>55.751851851851853</v>
      </c>
      <c r="Q6" s="41" t="s">
        <v>106</v>
      </c>
      <c r="R6" s="33" t="s">
        <v>69</v>
      </c>
      <c r="S6" s="33" t="s">
        <v>69</v>
      </c>
      <c r="T6" s="106"/>
    </row>
    <row r="7" spans="1:20" ht="15" customHeight="1" thickBot="1" x14ac:dyDescent="0.35">
      <c r="A7" s="55"/>
      <c r="B7" s="10" t="s">
        <v>114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105"/>
    </row>
    <row r="8" spans="1:20" ht="15" customHeight="1" x14ac:dyDescent="0.3">
      <c r="A8" s="55"/>
      <c r="B8" s="11" t="s">
        <v>56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107</v>
      </c>
      <c r="R8" s="34"/>
      <c r="S8" s="34"/>
      <c r="T8" s="105"/>
    </row>
    <row r="9" spans="1:20" ht="15" customHeight="1" thickBot="1" x14ac:dyDescent="0.35">
      <c r="A9" s="55"/>
      <c r="B9" s="10" t="s">
        <v>114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105"/>
    </row>
    <row r="10" spans="1:20" ht="15" customHeight="1" x14ac:dyDescent="0.3">
      <c r="A10" s="55"/>
      <c r="B10" s="10" t="s">
        <v>114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/>
      <c r="R10" s="34"/>
      <c r="S10" s="34"/>
      <c r="T10" s="105"/>
    </row>
    <row r="11" spans="1:20" ht="15" customHeight="1" thickBot="1" x14ac:dyDescent="0.35">
      <c r="A11" s="56"/>
      <c r="B11" s="10" t="s">
        <v>114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47"/>
    </row>
    <row r="12" spans="1:20" ht="15" customHeight="1" x14ac:dyDescent="0.3">
      <c r="A12" s="54">
        <v>2</v>
      </c>
      <c r="B12" s="10" t="s">
        <v>116</v>
      </c>
      <c r="C12" s="36" t="s">
        <v>12</v>
      </c>
      <c r="D12" s="38">
        <v>75021</v>
      </c>
      <c r="E12" s="38">
        <v>73330</v>
      </c>
      <c r="F12" s="38"/>
      <c r="G12" s="40">
        <f t="shared" ref="G12" si="3">SUM(D12:F12)</f>
        <v>148351</v>
      </c>
      <c r="H12" s="36">
        <f t="shared" ref="H12" si="4">SUM(G12:G16)</f>
        <v>148351</v>
      </c>
      <c r="I12" s="36">
        <v>400</v>
      </c>
      <c r="J12" s="36">
        <v>391</v>
      </c>
      <c r="K12" s="36"/>
      <c r="L12" s="36"/>
      <c r="M12" s="51">
        <f>(100*D12)/$T$3</f>
        <v>83.356666666666669</v>
      </c>
      <c r="N12" s="51">
        <f t="shared" ref="N12:O12" si="5">(100*E12)/$T$3</f>
        <v>81.477777777777774</v>
      </c>
      <c r="O12" s="51">
        <f t="shared" si="5"/>
        <v>0</v>
      </c>
      <c r="P12" s="51">
        <f>(H12*100)/$S$3</f>
        <v>54.944814814814812</v>
      </c>
      <c r="Q12" s="41" t="s">
        <v>112</v>
      </c>
      <c r="R12" s="116" t="s">
        <v>55</v>
      </c>
      <c r="S12" s="116" t="s">
        <v>55</v>
      </c>
      <c r="T12" s="104"/>
    </row>
    <row r="13" spans="1:20" ht="15" customHeight="1" thickBot="1" x14ac:dyDescent="0.35">
      <c r="A13" s="55"/>
      <c r="B13" s="10" t="s">
        <v>114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105"/>
    </row>
    <row r="14" spans="1:20" ht="15" customHeight="1" x14ac:dyDescent="0.3">
      <c r="A14" s="55"/>
      <c r="B14" s="11" t="s">
        <v>56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108</v>
      </c>
      <c r="R14" s="34"/>
      <c r="S14" s="34"/>
      <c r="T14" s="105"/>
    </row>
    <row r="15" spans="1:20" ht="15" customHeight="1" thickBot="1" x14ac:dyDescent="0.35">
      <c r="A15" s="55"/>
      <c r="B15" s="10" t="s">
        <v>114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105"/>
    </row>
    <row r="16" spans="1:20" ht="15" customHeight="1" x14ac:dyDescent="0.3">
      <c r="A16" s="55"/>
      <c r="B16" s="10" t="s">
        <v>114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/>
      <c r="R16" s="34"/>
      <c r="S16" s="34"/>
      <c r="T16" s="105"/>
    </row>
    <row r="17" spans="1:20" ht="15" customHeight="1" thickBot="1" x14ac:dyDescent="0.35">
      <c r="A17" s="56"/>
      <c r="B17" s="10" t="s">
        <v>114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47"/>
    </row>
    <row r="18" spans="1:20" ht="15" customHeight="1" x14ac:dyDescent="0.3">
      <c r="A18" s="54">
        <v>3</v>
      </c>
      <c r="B18" s="10" t="s">
        <v>116</v>
      </c>
      <c r="C18" s="36" t="s">
        <v>12</v>
      </c>
      <c r="D18" s="38">
        <v>80255</v>
      </c>
      <c r="E18" s="38">
        <v>80170</v>
      </c>
      <c r="F18" s="38"/>
      <c r="G18" s="40">
        <f t="shared" ref="G18" si="8">SUM(D18:F18)</f>
        <v>160425</v>
      </c>
      <c r="H18" s="36">
        <f t="shared" ref="H18" si="9">SUM(G18:G22)</f>
        <v>160425</v>
      </c>
      <c r="I18" s="36"/>
      <c r="J18" s="36"/>
      <c r="K18" s="36"/>
      <c r="L18" s="36"/>
      <c r="M18" s="51">
        <f t="shared" ref="M18:O18" si="10">(100*D18)/$T$3</f>
        <v>89.172222222222217</v>
      </c>
      <c r="N18" s="51">
        <f t="shared" si="10"/>
        <v>89.077777777777783</v>
      </c>
      <c r="O18" s="51">
        <f t="shared" si="10"/>
        <v>0</v>
      </c>
      <c r="P18" s="51">
        <f t="shared" ref="P18" si="11">(H18*100)/$S$3</f>
        <v>59.416666666666664</v>
      </c>
      <c r="Q18" s="41" t="s">
        <v>109</v>
      </c>
      <c r="R18" s="116" t="s">
        <v>55</v>
      </c>
      <c r="S18" s="116" t="s">
        <v>55</v>
      </c>
      <c r="T18" s="113"/>
    </row>
    <row r="19" spans="1:20" ht="15" customHeight="1" thickBot="1" x14ac:dyDescent="0.35">
      <c r="A19" s="55"/>
      <c r="B19" s="10" t="s">
        <v>114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114"/>
    </row>
    <row r="20" spans="1:20" ht="15" customHeight="1" x14ac:dyDescent="0.3">
      <c r="A20" s="55"/>
      <c r="B20" s="11" t="s">
        <v>56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110</v>
      </c>
      <c r="R20" s="34"/>
      <c r="S20" s="34"/>
      <c r="T20" s="114"/>
    </row>
    <row r="21" spans="1:20" ht="15" customHeight="1" thickBot="1" x14ac:dyDescent="0.35">
      <c r="A21" s="55"/>
      <c r="B21" s="10" t="s">
        <v>114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114"/>
    </row>
    <row r="22" spans="1:20" ht="15" customHeight="1" x14ac:dyDescent="0.3">
      <c r="A22" s="55"/>
      <c r="B22" s="10" t="s">
        <v>114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/>
      <c r="R22" s="34"/>
      <c r="S22" s="34"/>
      <c r="T22" s="114"/>
    </row>
    <row r="23" spans="1:20" ht="15" customHeight="1" thickBot="1" x14ac:dyDescent="0.35">
      <c r="A23" s="56"/>
      <c r="B23" s="10" t="s">
        <v>114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115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>
        <v>77672</v>
      </c>
      <c r="E24" s="38">
        <v>71736</v>
      </c>
      <c r="F24" s="38"/>
      <c r="G24" s="40">
        <f t="shared" ref="G24" si="14">SUM(D24:F24)</f>
        <v>149408</v>
      </c>
      <c r="H24" s="37">
        <f>SUM(G24:G28)</f>
        <v>149408</v>
      </c>
      <c r="I24" s="49">
        <v>402</v>
      </c>
      <c r="J24" s="49">
        <v>371</v>
      </c>
      <c r="K24" s="49"/>
      <c r="L24" s="49"/>
      <c r="M24" s="44">
        <f t="shared" ref="M24:O24" si="15">(100*D24)/$T$3</f>
        <v>86.302222222222227</v>
      </c>
      <c r="N24" s="44">
        <f t="shared" si="15"/>
        <v>79.706666666666663</v>
      </c>
      <c r="O24" s="44">
        <f t="shared" si="15"/>
        <v>0</v>
      </c>
      <c r="P24" s="44">
        <f t="shared" ref="P24" si="16">(H24*100)/$S$3</f>
        <v>55.336296296296297</v>
      </c>
      <c r="Q24" s="41" t="s">
        <v>111</v>
      </c>
      <c r="R24" s="35" t="s">
        <v>69</v>
      </c>
      <c r="S24" s="35" t="s">
        <v>69</v>
      </c>
      <c r="T24" s="104"/>
    </row>
    <row r="25" spans="1:20" ht="15" customHeight="1" thickBot="1" x14ac:dyDescent="0.35">
      <c r="A25" s="50"/>
      <c r="B25" s="10" t="s">
        <v>114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5"/>
      <c r="S25" s="35"/>
      <c r="T25" s="105"/>
    </row>
    <row r="26" spans="1:20" ht="15" customHeight="1" x14ac:dyDescent="0.3">
      <c r="A26" s="50"/>
      <c r="B26" s="11" t="s">
        <v>56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113</v>
      </c>
      <c r="R26" s="117"/>
      <c r="S26" s="117"/>
      <c r="T26" s="105"/>
    </row>
    <row r="27" spans="1:20" ht="15" customHeight="1" thickBot="1" x14ac:dyDescent="0.35">
      <c r="A27" s="50"/>
      <c r="B27" s="10" t="s">
        <v>114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117"/>
      <c r="S27" s="117"/>
      <c r="T27" s="105"/>
    </row>
    <row r="28" spans="1:20" ht="15" customHeight="1" x14ac:dyDescent="0.3">
      <c r="A28" s="50"/>
      <c r="B28" s="10" t="s">
        <v>114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/>
      <c r="R28" s="117"/>
      <c r="S28" s="117"/>
      <c r="T28" s="105"/>
    </row>
    <row r="29" spans="1:20" ht="15" customHeight="1" thickBot="1" x14ac:dyDescent="0.35">
      <c r="A29" s="50"/>
      <c r="B29" s="10" t="s">
        <v>114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117"/>
      <c r="S29" s="117"/>
      <c r="T29" s="47"/>
    </row>
    <row r="30" spans="1:20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0</v>
      </c>
      <c r="I30" s="49"/>
      <c r="J30" s="49"/>
      <c r="K30" s="49"/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0</v>
      </c>
      <c r="Q30" s="41"/>
      <c r="R30" s="104"/>
      <c r="S30" s="47"/>
      <c r="T30" s="104"/>
    </row>
    <row r="31" spans="1:20" ht="15" customHeight="1" thickBot="1" x14ac:dyDescent="0.35">
      <c r="A31" s="50"/>
      <c r="B31" s="10" t="s">
        <v>114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105"/>
      <c r="S31" s="47"/>
      <c r="T31" s="105"/>
    </row>
    <row r="32" spans="1:20" ht="15" customHeight="1" x14ac:dyDescent="0.3">
      <c r="A32" s="50"/>
      <c r="B32" s="11" t="s">
        <v>56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/>
      <c r="R32" s="105"/>
      <c r="S32" s="48"/>
      <c r="T32" s="105"/>
    </row>
    <row r="33" spans="1:20" ht="15" customHeight="1" thickBot="1" x14ac:dyDescent="0.35">
      <c r="A33" s="50"/>
      <c r="B33" s="10" t="s">
        <v>114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105"/>
      <c r="S33" s="48"/>
      <c r="T33" s="105"/>
    </row>
    <row r="34" spans="1:20" ht="15" customHeight="1" x14ac:dyDescent="0.3">
      <c r="A34" s="50"/>
      <c r="B34" s="10" t="s">
        <v>114</v>
      </c>
      <c r="C34" s="36" t="s">
        <v>33</v>
      </c>
      <c r="D34" s="38"/>
      <c r="E34" s="38"/>
      <c r="F34" s="38"/>
      <c r="G34" s="40">
        <f t="shared" ref="G34" si="23">SUM(D34:F34)</f>
        <v>0</v>
      </c>
      <c r="H34" s="49"/>
      <c r="I34" s="49"/>
      <c r="J34" s="49"/>
      <c r="K34" s="49"/>
      <c r="L34" s="49"/>
      <c r="M34" s="45"/>
      <c r="N34" s="45"/>
      <c r="O34" s="45"/>
      <c r="P34" s="45"/>
      <c r="Q34" s="41"/>
      <c r="R34" s="105"/>
      <c r="S34" s="48"/>
      <c r="T34" s="105"/>
    </row>
    <row r="35" spans="1:20" ht="15" customHeight="1" thickBot="1" x14ac:dyDescent="0.35">
      <c r="A35" s="50"/>
      <c r="B35" s="10" t="s">
        <v>114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47"/>
      <c r="S35" s="48"/>
      <c r="T35" s="47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/>
      <c r="E36" s="38"/>
      <c r="F36" s="38"/>
      <c r="G36" s="40">
        <f t="shared" ref="G36" si="24">SUM(D36:F36)</f>
        <v>0</v>
      </c>
      <c r="H36" s="37">
        <f>SUM(G36:G40)</f>
        <v>0</v>
      </c>
      <c r="I36" s="49"/>
      <c r="J36" s="49"/>
      <c r="K36" s="49"/>
      <c r="L36" s="49"/>
      <c r="M36" s="44">
        <f t="shared" ref="M36:O36" si="25">(100*D36)/$T$3</f>
        <v>0</v>
      </c>
      <c r="N36" s="44">
        <f t="shared" si="25"/>
        <v>0</v>
      </c>
      <c r="O36" s="44">
        <f t="shared" si="25"/>
        <v>0</v>
      </c>
      <c r="P36" s="44">
        <f t="shared" ref="P36" si="26">(H36*100)/$S$3</f>
        <v>0</v>
      </c>
      <c r="Q36" s="41"/>
      <c r="R36" s="47"/>
      <c r="S36" s="47"/>
      <c r="T36" s="106"/>
    </row>
    <row r="37" spans="1:20" ht="15" customHeight="1" thickBot="1" x14ac:dyDescent="0.35">
      <c r="A37" s="50"/>
      <c r="B37" s="10" t="s">
        <v>114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47"/>
      <c r="S37" s="47"/>
      <c r="T37" s="105"/>
    </row>
    <row r="38" spans="1:20" ht="15" customHeight="1" x14ac:dyDescent="0.3">
      <c r="A38" s="50"/>
      <c r="B38" s="11" t="s">
        <v>56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/>
      <c r="R38" s="47"/>
      <c r="S38" s="47"/>
      <c r="T38" s="105"/>
    </row>
    <row r="39" spans="1:20" ht="15" customHeight="1" thickBot="1" x14ac:dyDescent="0.35">
      <c r="A39" s="50"/>
      <c r="B39" s="10" t="s">
        <v>114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48"/>
      <c r="S39" s="48"/>
      <c r="T39" s="105"/>
    </row>
    <row r="40" spans="1:20" ht="15" customHeight="1" x14ac:dyDescent="0.3">
      <c r="A40" s="50"/>
      <c r="B40" s="10" t="s">
        <v>114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/>
      <c r="R40" s="48"/>
      <c r="S40" s="48"/>
      <c r="T40" s="105"/>
    </row>
    <row r="41" spans="1:20" ht="15" customHeight="1" thickBot="1" x14ac:dyDescent="0.35">
      <c r="A41" s="50"/>
      <c r="B41" s="10" t="s">
        <v>114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48"/>
      <c r="S41" s="48"/>
      <c r="T41" s="47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/>
      <c r="E42" s="38"/>
      <c r="F42" s="38"/>
      <c r="G42" s="40">
        <f t="shared" ref="G42" si="29">SUM(D42:F42)</f>
        <v>0</v>
      </c>
      <c r="H42" s="37">
        <f>SUM(G42:G46)</f>
        <v>0</v>
      </c>
      <c r="I42" s="49"/>
      <c r="J42" s="49"/>
      <c r="K42" s="49"/>
      <c r="L42" s="49"/>
      <c r="M42" s="44">
        <f t="shared" ref="M42:O42" si="30">(100*D42)/$T$3</f>
        <v>0</v>
      </c>
      <c r="N42" s="44">
        <f t="shared" si="30"/>
        <v>0</v>
      </c>
      <c r="O42" s="44">
        <f t="shared" si="30"/>
        <v>0</v>
      </c>
      <c r="P42" s="44">
        <f>(H42*100)/$S$3</f>
        <v>0</v>
      </c>
      <c r="Q42" s="46"/>
      <c r="R42" s="47"/>
      <c r="S42" s="47"/>
      <c r="T42" s="106"/>
    </row>
    <row r="43" spans="1:20" ht="15" customHeight="1" thickBot="1" x14ac:dyDescent="0.35">
      <c r="A43" s="50"/>
      <c r="B43" s="10" t="s">
        <v>114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47"/>
      <c r="S43" s="47"/>
      <c r="T43" s="105"/>
    </row>
    <row r="44" spans="1:20" ht="15" customHeight="1" x14ac:dyDescent="0.3">
      <c r="A44" s="50"/>
      <c r="B44" s="11" t="s">
        <v>56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/>
      <c r="R44" s="48"/>
      <c r="S44" s="48"/>
      <c r="T44" s="105"/>
    </row>
    <row r="45" spans="1:20" ht="15" customHeight="1" thickBot="1" x14ac:dyDescent="0.35">
      <c r="A45" s="50"/>
      <c r="B45" s="10" t="s">
        <v>114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48"/>
      <c r="S45" s="48"/>
      <c r="T45" s="105"/>
    </row>
    <row r="46" spans="1:20" ht="15" customHeight="1" x14ac:dyDescent="0.3">
      <c r="A46" s="50"/>
      <c r="B46" s="10" t="s">
        <v>114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/>
      <c r="R46" s="48"/>
      <c r="S46" s="48"/>
      <c r="T46" s="105"/>
    </row>
    <row r="47" spans="1:20" ht="15" customHeight="1" thickBot="1" x14ac:dyDescent="0.35">
      <c r="A47" s="50"/>
      <c r="B47" s="10" t="s">
        <v>114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48"/>
      <c r="S47" s="48"/>
      <c r="T47" s="47"/>
    </row>
    <row r="48" spans="1:20" ht="15" thickBot="1" x14ac:dyDescent="0.35">
      <c r="C48" s="29" t="s">
        <v>19</v>
      </c>
      <c r="D48" s="31">
        <f>SUM(D6:D47)</f>
        <v>309059</v>
      </c>
      <c r="E48" s="31">
        <f>SUM(E6:E47)</f>
        <v>299655</v>
      </c>
      <c r="F48" s="31">
        <f>SUM(F6:F47)</f>
        <v>0</v>
      </c>
      <c r="G48" s="31">
        <f>SUM(G6:G46)</f>
        <v>608714</v>
      </c>
      <c r="H48" s="31">
        <f>SUM(H6:H47)</f>
        <v>608714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5</v>
      </c>
      <c r="K50" s="18" t="s">
        <v>70</v>
      </c>
      <c r="L50" s="27">
        <v>5</v>
      </c>
      <c r="M50" s="28"/>
      <c r="N50" s="18" t="s">
        <v>70</v>
      </c>
      <c r="O50" s="18">
        <v>1</v>
      </c>
      <c r="P50" s="18" t="s">
        <v>70</v>
      </c>
      <c r="Q50" s="22"/>
    </row>
    <row r="51" spans="3:17" x14ac:dyDescent="0.3">
      <c r="J51" s="18">
        <v>6</v>
      </c>
      <c r="K51" s="18" t="s">
        <v>70</v>
      </c>
      <c r="L51" s="27">
        <v>6</v>
      </c>
      <c r="M51" s="28"/>
      <c r="N51" s="18" t="s">
        <v>70</v>
      </c>
      <c r="O51" s="18">
        <v>2</v>
      </c>
      <c r="P51" s="18" t="s">
        <v>70</v>
      </c>
      <c r="Q51" s="22"/>
    </row>
    <row r="52" spans="3:17" x14ac:dyDescent="0.3">
      <c r="J52" s="18">
        <v>7</v>
      </c>
      <c r="K52" s="18" t="s">
        <v>70</v>
      </c>
      <c r="L52" s="27">
        <v>7</v>
      </c>
      <c r="M52" s="28"/>
      <c r="N52" s="18" t="s">
        <v>70</v>
      </c>
      <c r="O52" s="18">
        <v>3</v>
      </c>
      <c r="P52" s="18" t="s">
        <v>70</v>
      </c>
      <c r="Q52" s="23"/>
    </row>
    <row r="53" spans="3:17" x14ac:dyDescent="0.3">
      <c r="J53" s="18"/>
      <c r="K53" s="18"/>
      <c r="L53" s="27"/>
      <c r="M53" s="28"/>
      <c r="N53" s="18"/>
      <c r="O53" s="18">
        <v>4</v>
      </c>
      <c r="P53" s="18" t="s">
        <v>70</v>
      </c>
      <c r="Q53" s="23"/>
    </row>
    <row r="54" spans="3:17" x14ac:dyDescent="0.3">
      <c r="J54" s="18"/>
      <c r="K54" s="18"/>
      <c r="L54" s="27"/>
      <c r="M54" s="28"/>
      <c r="N54" s="18"/>
      <c r="O54" s="18">
        <v>5</v>
      </c>
      <c r="P54" s="18" t="s">
        <v>70</v>
      </c>
      <c r="Q54" s="24"/>
    </row>
    <row r="55" spans="3:17" x14ac:dyDescent="0.3">
      <c r="J55" s="18"/>
      <c r="K55" s="18"/>
      <c r="L55" s="27"/>
      <c r="M55" s="28"/>
      <c r="N55" s="18"/>
      <c r="O55" s="18">
        <v>6</v>
      </c>
      <c r="P55" s="18" t="s">
        <v>70</v>
      </c>
    </row>
    <row r="56" spans="3:17" x14ac:dyDescent="0.3">
      <c r="J56" s="18"/>
      <c r="K56" s="18"/>
      <c r="L56" s="27"/>
      <c r="M56" s="28"/>
      <c r="N56" s="18"/>
      <c r="O56" s="18">
        <v>7</v>
      </c>
      <c r="P56" s="18" t="s">
        <v>70</v>
      </c>
    </row>
  </sheetData>
  <mergeCells count="245"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zoomScale="85" zoomScaleNormal="85" workbookViewId="0">
      <selection activeCell="B9" sqref="B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9"/>
      <c r="S1" s="86" t="s">
        <v>75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2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1" t="s">
        <v>73</v>
      </c>
      <c r="C6" s="40" t="s">
        <v>12</v>
      </c>
      <c r="D6" s="67">
        <v>82480</v>
      </c>
      <c r="E6" s="67">
        <v>83104</v>
      </c>
      <c r="F6" s="67">
        <v>84052</v>
      </c>
      <c r="G6" s="40">
        <f>SUM(D6:F6)</f>
        <v>249636</v>
      </c>
      <c r="H6" s="40">
        <f>SUM(G6:G10)</f>
        <v>249636</v>
      </c>
      <c r="I6" s="40">
        <v>435</v>
      </c>
      <c r="J6" s="40">
        <v>438</v>
      </c>
      <c r="K6" s="40">
        <v>443</v>
      </c>
      <c r="L6" s="40"/>
      <c r="M6" s="57">
        <f>(100*D6)/$T$3</f>
        <v>91.644444444444446</v>
      </c>
      <c r="N6" s="57">
        <f t="shared" ref="N6:O6" si="0">(100*E6)/$T$3</f>
        <v>92.337777777777774</v>
      </c>
      <c r="O6" s="57">
        <f t="shared" si="0"/>
        <v>93.391111111111115</v>
      </c>
      <c r="P6" s="57">
        <f>(H6*100)/$S$3</f>
        <v>92.457777777777778</v>
      </c>
      <c r="Q6" s="41" t="s">
        <v>102</v>
      </c>
      <c r="R6" s="33" t="s">
        <v>86</v>
      </c>
      <c r="S6" s="33" t="s">
        <v>85</v>
      </c>
      <c r="T6" s="33" t="s">
        <v>85</v>
      </c>
    </row>
    <row r="7" spans="1:20" ht="15" customHeight="1" thickBot="1" x14ac:dyDescent="0.35">
      <c r="A7" s="55"/>
      <c r="B7" s="11" t="s">
        <v>74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34"/>
    </row>
    <row r="8" spans="1:20" ht="15" customHeight="1" x14ac:dyDescent="0.3">
      <c r="A8" s="55"/>
      <c r="B8" s="11" t="s">
        <v>72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101</v>
      </c>
      <c r="R8" s="34"/>
      <c r="S8" s="34"/>
      <c r="T8" s="34"/>
    </row>
    <row r="9" spans="1:20" ht="15" thickBot="1" x14ac:dyDescent="0.35">
      <c r="A9" s="55"/>
      <c r="B9" s="11" t="s">
        <v>115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34"/>
    </row>
    <row r="10" spans="1:20" ht="15" customHeight="1" x14ac:dyDescent="0.3">
      <c r="A10" s="55"/>
      <c r="B10" s="10" t="s">
        <v>116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 t="s">
        <v>81</v>
      </c>
      <c r="R10" s="34"/>
      <c r="S10" s="34"/>
      <c r="T10" s="34"/>
    </row>
    <row r="11" spans="1:20" ht="15" customHeight="1" thickBot="1" x14ac:dyDescent="0.35">
      <c r="A11" s="56"/>
      <c r="B11" s="10" t="s">
        <v>117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35"/>
    </row>
    <row r="12" spans="1:20" ht="15" customHeight="1" x14ac:dyDescent="0.3">
      <c r="A12" s="54">
        <v>2</v>
      </c>
      <c r="B12" s="11" t="s">
        <v>73</v>
      </c>
      <c r="C12" s="36" t="s">
        <v>12</v>
      </c>
      <c r="D12" s="38">
        <v>80449</v>
      </c>
      <c r="E12" s="38">
        <v>84258</v>
      </c>
      <c r="F12" s="38">
        <v>83034</v>
      </c>
      <c r="G12" s="40">
        <f t="shared" ref="G12" si="3">SUM(D12:F12)</f>
        <v>247741</v>
      </c>
      <c r="H12" s="36">
        <f t="shared" ref="H12" si="4">SUM(G12:G16)</f>
        <v>247741</v>
      </c>
      <c r="I12" s="36">
        <v>430</v>
      </c>
      <c r="J12" s="36">
        <v>450</v>
      </c>
      <c r="K12" s="36">
        <v>443</v>
      </c>
      <c r="L12" s="36"/>
      <c r="M12" s="51">
        <f>(100*D12)/$T$3</f>
        <v>89.387777777777771</v>
      </c>
      <c r="N12" s="51">
        <f t="shared" ref="N12:O12" si="5">(100*E12)/$T$3</f>
        <v>93.62</v>
      </c>
      <c r="O12" s="51">
        <f t="shared" si="5"/>
        <v>92.26</v>
      </c>
      <c r="P12" s="51">
        <f>(H12*100)/$S$3</f>
        <v>91.755925925925922</v>
      </c>
      <c r="Q12" s="41" t="s">
        <v>100</v>
      </c>
      <c r="R12" s="33" t="s">
        <v>86</v>
      </c>
      <c r="S12" s="33" t="s">
        <v>85</v>
      </c>
      <c r="T12" s="33" t="s">
        <v>85</v>
      </c>
    </row>
    <row r="13" spans="1:20" ht="15" customHeight="1" thickBot="1" x14ac:dyDescent="0.35">
      <c r="A13" s="55"/>
      <c r="B13" s="11" t="s">
        <v>74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34"/>
    </row>
    <row r="14" spans="1:20" ht="15" customHeight="1" x14ac:dyDescent="0.3">
      <c r="A14" s="55"/>
      <c r="B14" s="11" t="s">
        <v>72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99</v>
      </c>
      <c r="R14" s="34"/>
      <c r="S14" s="34"/>
      <c r="T14" s="34"/>
    </row>
    <row r="15" spans="1:20" ht="15" customHeight="1" thickBot="1" x14ac:dyDescent="0.35">
      <c r="A15" s="55"/>
      <c r="B15" s="11" t="s">
        <v>115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34"/>
    </row>
    <row r="16" spans="1:20" ht="15" customHeight="1" x14ac:dyDescent="0.3">
      <c r="A16" s="55"/>
      <c r="B16" s="10" t="s">
        <v>116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 t="s">
        <v>80</v>
      </c>
      <c r="R16" s="34"/>
      <c r="S16" s="34"/>
      <c r="T16" s="34"/>
    </row>
    <row r="17" spans="1:20" ht="15" customHeight="1" thickBot="1" x14ac:dyDescent="0.35">
      <c r="A17" s="56"/>
      <c r="B17" s="10" t="s">
        <v>117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35"/>
    </row>
    <row r="18" spans="1:20" ht="15" customHeight="1" x14ac:dyDescent="0.3">
      <c r="A18" s="54">
        <v>3</v>
      </c>
      <c r="B18" s="11" t="s">
        <v>73</v>
      </c>
      <c r="C18" s="36" t="s">
        <v>12</v>
      </c>
      <c r="D18" s="38">
        <v>77344</v>
      </c>
      <c r="E18" s="38">
        <v>65631</v>
      </c>
      <c r="F18" s="38">
        <v>80302</v>
      </c>
      <c r="G18" s="40">
        <f t="shared" ref="G18" si="8">SUM(D18:F18)</f>
        <v>223277</v>
      </c>
      <c r="H18" s="36">
        <f t="shared" ref="H18" si="9">SUM(G18:G22)</f>
        <v>223277</v>
      </c>
      <c r="I18" s="36"/>
      <c r="J18" s="36"/>
      <c r="K18" s="36"/>
      <c r="L18" s="36"/>
      <c r="M18" s="51">
        <f t="shared" ref="M18:O18" si="10">(100*D18)/$T$3</f>
        <v>85.937777777777782</v>
      </c>
      <c r="N18" s="51">
        <f t="shared" si="10"/>
        <v>72.923333333333332</v>
      </c>
      <c r="O18" s="51">
        <f t="shared" si="10"/>
        <v>89.224444444444444</v>
      </c>
      <c r="P18" s="51">
        <f t="shared" ref="P18" si="11">(H18*100)/$S$3</f>
        <v>82.695185185185181</v>
      </c>
      <c r="Q18" s="41" t="s">
        <v>98</v>
      </c>
      <c r="R18" s="33" t="s">
        <v>86</v>
      </c>
      <c r="S18" s="116" t="s">
        <v>82</v>
      </c>
      <c r="T18" s="33" t="s">
        <v>85</v>
      </c>
    </row>
    <row r="19" spans="1:20" ht="15" customHeight="1" thickBot="1" x14ac:dyDescent="0.35">
      <c r="A19" s="55"/>
      <c r="B19" s="11" t="s">
        <v>74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34"/>
    </row>
    <row r="20" spans="1:20" ht="15" customHeight="1" x14ac:dyDescent="0.3">
      <c r="A20" s="55"/>
      <c r="B20" s="11" t="s">
        <v>72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96</v>
      </c>
      <c r="R20" s="34"/>
      <c r="S20" s="34"/>
      <c r="T20" s="34"/>
    </row>
    <row r="21" spans="1:20" ht="15" customHeight="1" thickBot="1" x14ac:dyDescent="0.35">
      <c r="A21" s="55"/>
      <c r="B21" s="11" t="s">
        <v>115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34"/>
    </row>
    <row r="22" spans="1:20" ht="15" customHeight="1" x14ac:dyDescent="0.3">
      <c r="A22" s="55"/>
      <c r="B22" s="10" t="s">
        <v>116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 t="s">
        <v>79</v>
      </c>
      <c r="R22" s="34"/>
      <c r="S22" s="34"/>
      <c r="T22" s="34"/>
    </row>
    <row r="23" spans="1:20" ht="15" customHeight="1" thickBot="1" x14ac:dyDescent="0.35">
      <c r="A23" s="56"/>
      <c r="B23" s="10" t="s">
        <v>117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35"/>
    </row>
    <row r="24" spans="1:20" ht="15" customHeight="1" x14ac:dyDescent="0.3">
      <c r="A24" s="50">
        <v>4</v>
      </c>
      <c r="B24" s="11" t="s">
        <v>73</v>
      </c>
      <c r="C24" s="36" t="s">
        <v>12</v>
      </c>
      <c r="D24" s="38">
        <v>83004</v>
      </c>
      <c r="E24" s="38">
        <v>85177</v>
      </c>
      <c r="F24" s="38">
        <v>86412</v>
      </c>
      <c r="G24" s="40">
        <f t="shared" ref="G24" si="14">SUM(D24:F24)</f>
        <v>254593</v>
      </c>
      <c r="H24" s="37">
        <f>SUM(G24:G28)</f>
        <v>254593</v>
      </c>
      <c r="I24" s="49">
        <v>432</v>
      </c>
      <c r="J24" s="49">
        <v>444</v>
      </c>
      <c r="K24" s="49">
        <v>447</v>
      </c>
      <c r="L24" s="49"/>
      <c r="M24" s="44">
        <f t="shared" ref="M24:O24" si="15">(100*D24)/$T$3</f>
        <v>92.226666666666674</v>
      </c>
      <c r="N24" s="44">
        <f t="shared" si="15"/>
        <v>94.641111111111115</v>
      </c>
      <c r="O24" s="44">
        <f t="shared" si="15"/>
        <v>96.013333333333335</v>
      </c>
      <c r="P24" s="44">
        <f t="shared" ref="P24" si="16">(H24*100)/$S$3</f>
        <v>94.293703703703699</v>
      </c>
      <c r="Q24" s="41" t="s">
        <v>95</v>
      </c>
      <c r="R24" s="33" t="s">
        <v>86</v>
      </c>
      <c r="S24" s="33" t="s">
        <v>85</v>
      </c>
      <c r="T24" s="33" t="s">
        <v>85</v>
      </c>
    </row>
    <row r="25" spans="1:20" ht="15" customHeight="1" thickBot="1" x14ac:dyDescent="0.35">
      <c r="A25" s="50"/>
      <c r="B25" s="11" t="s">
        <v>74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4"/>
      <c r="S25" s="34"/>
      <c r="T25" s="34"/>
    </row>
    <row r="26" spans="1:20" ht="15" customHeight="1" x14ac:dyDescent="0.3">
      <c r="A26" s="50"/>
      <c r="B26" s="11" t="s">
        <v>72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94</v>
      </c>
      <c r="R26" s="34"/>
      <c r="S26" s="34"/>
      <c r="T26" s="34"/>
    </row>
    <row r="27" spans="1:20" ht="15" customHeight="1" thickBot="1" x14ac:dyDescent="0.35">
      <c r="A27" s="50"/>
      <c r="B27" s="11" t="s">
        <v>115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34"/>
      <c r="S27" s="34"/>
      <c r="T27" s="34"/>
    </row>
    <row r="28" spans="1:20" ht="15" customHeight="1" x14ac:dyDescent="0.3">
      <c r="A28" s="50"/>
      <c r="B28" s="10" t="s">
        <v>116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 t="s">
        <v>78</v>
      </c>
      <c r="R28" s="34"/>
      <c r="S28" s="34"/>
      <c r="T28" s="34"/>
    </row>
    <row r="29" spans="1:20" ht="15" customHeight="1" thickBot="1" x14ac:dyDescent="0.35">
      <c r="A29" s="50"/>
      <c r="B29" s="10" t="s">
        <v>117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35"/>
      <c r="S29" s="35"/>
      <c r="T29" s="35"/>
    </row>
    <row r="30" spans="1:20" ht="15" customHeight="1" x14ac:dyDescent="0.3">
      <c r="A30" s="50">
        <v>5</v>
      </c>
      <c r="B30" s="11" t="s">
        <v>73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260714</v>
      </c>
      <c r="I30" s="49">
        <v>437</v>
      </c>
      <c r="J30" s="49">
        <v>432</v>
      </c>
      <c r="K30" s="49">
        <v>443</v>
      </c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96.560740740740741</v>
      </c>
      <c r="Q30" s="41" t="s">
        <v>93</v>
      </c>
      <c r="R30" s="33" t="s">
        <v>86</v>
      </c>
      <c r="S30" s="33" t="s">
        <v>85</v>
      </c>
      <c r="T30" s="33" t="s">
        <v>85</v>
      </c>
    </row>
    <row r="31" spans="1:20" ht="15" customHeight="1" thickBot="1" x14ac:dyDescent="0.35">
      <c r="A31" s="50"/>
      <c r="B31" s="11" t="s">
        <v>74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34"/>
      <c r="S31" s="34"/>
      <c r="T31" s="34"/>
    </row>
    <row r="32" spans="1:20" ht="15" customHeight="1" x14ac:dyDescent="0.3">
      <c r="A32" s="50"/>
      <c r="B32" s="11" t="s">
        <v>72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 t="s">
        <v>92</v>
      </c>
      <c r="R32" s="34"/>
      <c r="S32" s="34"/>
      <c r="T32" s="34"/>
    </row>
    <row r="33" spans="1:20" ht="15" customHeight="1" thickBot="1" x14ac:dyDescent="0.35">
      <c r="A33" s="50"/>
      <c r="B33" s="11" t="s">
        <v>115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34"/>
      <c r="S33" s="34"/>
      <c r="T33" s="34"/>
    </row>
    <row r="34" spans="1:20" ht="15" customHeight="1" x14ac:dyDescent="0.3">
      <c r="A34" s="50"/>
      <c r="B34" s="10" t="s">
        <v>116</v>
      </c>
      <c r="C34" s="36" t="s">
        <v>33</v>
      </c>
      <c r="D34" s="38">
        <v>87121</v>
      </c>
      <c r="E34" s="38">
        <v>85446</v>
      </c>
      <c r="F34" s="38">
        <v>88147</v>
      </c>
      <c r="G34" s="40">
        <f t="shared" ref="G34" si="23">SUM(D34:F34)</f>
        <v>260714</v>
      </c>
      <c r="H34" s="49"/>
      <c r="I34" s="49"/>
      <c r="J34" s="49"/>
      <c r="K34" s="49"/>
      <c r="L34" s="49"/>
      <c r="M34" s="45"/>
      <c r="N34" s="45"/>
      <c r="O34" s="45"/>
      <c r="P34" s="45"/>
      <c r="Q34" s="41" t="s">
        <v>97</v>
      </c>
      <c r="R34" s="34"/>
      <c r="S34" s="34"/>
      <c r="T34" s="34"/>
    </row>
    <row r="35" spans="1:20" ht="15" customHeight="1" thickBot="1" x14ac:dyDescent="0.35">
      <c r="A35" s="50"/>
      <c r="B35" s="10" t="s">
        <v>117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35"/>
      <c r="S35" s="35"/>
      <c r="T35" s="35"/>
    </row>
    <row r="36" spans="1:20" ht="15" customHeight="1" x14ac:dyDescent="0.3">
      <c r="A36" s="50">
        <v>6</v>
      </c>
      <c r="B36" s="11" t="s">
        <v>73</v>
      </c>
      <c r="C36" s="36" t="s">
        <v>23</v>
      </c>
      <c r="D36" s="38">
        <v>47911</v>
      </c>
      <c r="E36" s="38"/>
      <c r="F36" s="38">
        <v>83698</v>
      </c>
      <c r="G36" s="40">
        <f t="shared" ref="G36" si="24">SUM(D36:F36)</f>
        <v>131609</v>
      </c>
      <c r="H36" s="37">
        <f>SUM(G36:G40)</f>
        <v>131609</v>
      </c>
      <c r="I36" s="49">
        <v>253</v>
      </c>
      <c r="J36" s="49"/>
      <c r="K36" s="49">
        <v>443</v>
      </c>
      <c r="L36" s="49"/>
      <c r="M36" s="44">
        <f t="shared" ref="M36:O36" si="25">(100*D36)/$T$3</f>
        <v>53.234444444444442</v>
      </c>
      <c r="N36" s="44">
        <f t="shared" si="25"/>
        <v>0</v>
      </c>
      <c r="O36" s="44">
        <f t="shared" si="25"/>
        <v>92.997777777777785</v>
      </c>
      <c r="P36" s="44">
        <f t="shared" ref="P36" si="26">(H36*100)/$S$3</f>
        <v>48.744074074074071</v>
      </c>
      <c r="Q36" s="41" t="s">
        <v>91</v>
      </c>
      <c r="R36" s="33" t="s">
        <v>87</v>
      </c>
      <c r="S36" s="47" t="s">
        <v>83</v>
      </c>
      <c r="T36" s="33" t="s">
        <v>85</v>
      </c>
    </row>
    <row r="37" spans="1:20" ht="15" customHeight="1" thickBot="1" x14ac:dyDescent="0.35">
      <c r="A37" s="50"/>
      <c r="B37" s="11" t="s">
        <v>74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34"/>
      <c r="S37" s="47"/>
      <c r="T37" s="34"/>
    </row>
    <row r="38" spans="1:20" ht="15" customHeight="1" x14ac:dyDescent="0.3">
      <c r="A38" s="50"/>
      <c r="B38" s="11" t="s">
        <v>72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/>
      <c r="R38" s="34"/>
      <c r="S38" s="47"/>
      <c r="T38" s="34"/>
    </row>
    <row r="39" spans="1:20" ht="15" customHeight="1" thickBot="1" x14ac:dyDescent="0.35">
      <c r="A39" s="50"/>
      <c r="B39" s="11" t="s">
        <v>115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34"/>
      <c r="S39" s="48"/>
      <c r="T39" s="34"/>
    </row>
    <row r="40" spans="1:20" ht="15" customHeight="1" x14ac:dyDescent="0.3">
      <c r="A40" s="50"/>
      <c r="B40" s="10" t="s">
        <v>116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 t="s">
        <v>77</v>
      </c>
      <c r="R40" s="34"/>
      <c r="S40" s="48"/>
      <c r="T40" s="34"/>
    </row>
    <row r="41" spans="1:20" ht="15" customHeight="1" thickBot="1" x14ac:dyDescent="0.35">
      <c r="A41" s="50"/>
      <c r="B41" s="10" t="s">
        <v>117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35"/>
      <c r="S41" s="48"/>
      <c r="T41" s="35"/>
    </row>
    <row r="42" spans="1:20" ht="15" customHeight="1" x14ac:dyDescent="0.3">
      <c r="A42" s="50">
        <v>7</v>
      </c>
      <c r="B42" s="11" t="s">
        <v>73</v>
      </c>
      <c r="C42" s="36" t="s">
        <v>13</v>
      </c>
      <c r="D42" s="38">
        <v>28276</v>
      </c>
      <c r="E42" s="38">
        <v>37027</v>
      </c>
      <c r="F42" s="38">
        <v>82012</v>
      </c>
      <c r="G42" s="40">
        <f t="shared" ref="G42" si="29">SUM(D42:F42)</f>
        <v>147315</v>
      </c>
      <c r="H42" s="37">
        <f>SUM(G42:G46)</f>
        <v>147315</v>
      </c>
      <c r="I42" s="49">
        <v>152</v>
      </c>
      <c r="J42" s="49">
        <v>199</v>
      </c>
      <c r="K42" s="49">
        <v>443</v>
      </c>
      <c r="L42" s="49"/>
      <c r="M42" s="44">
        <f t="shared" ref="M42:O42" si="30">(100*D42)/$T$3</f>
        <v>31.417777777777779</v>
      </c>
      <c r="N42" s="44">
        <f t="shared" si="30"/>
        <v>41.141111111111108</v>
      </c>
      <c r="O42" s="44">
        <f t="shared" si="30"/>
        <v>91.12444444444445</v>
      </c>
      <c r="P42" s="44">
        <f>(H42*100)/$S$3</f>
        <v>54.56111111111111</v>
      </c>
      <c r="Q42" s="46" t="s">
        <v>90</v>
      </c>
      <c r="R42" s="33" t="s">
        <v>88</v>
      </c>
      <c r="S42" s="47" t="s">
        <v>84</v>
      </c>
      <c r="T42" s="33" t="s">
        <v>85</v>
      </c>
    </row>
    <row r="43" spans="1:20" ht="15" customHeight="1" thickBot="1" x14ac:dyDescent="0.35">
      <c r="A43" s="50"/>
      <c r="B43" s="11" t="s">
        <v>74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34"/>
      <c r="S43" s="47"/>
      <c r="T43" s="34"/>
    </row>
    <row r="44" spans="1:20" ht="15" customHeight="1" x14ac:dyDescent="0.3">
      <c r="A44" s="50"/>
      <c r="B44" s="11" t="s">
        <v>72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 t="s">
        <v>89</v>
      </c>
      <c r="R44" s="34"/>
      <c r="S44" s="48"/>
      <c r="T44" s="34"/>
    </row>
    <row r="45" spans="1:20" ht="15" customHeight="1" thickBot="1" x14ac:dyDescent="0.35">
      <c r="A45" s="50"/>
      <c r="B45" s="11" t="s">
        <v>115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34"/>
      <c r="S45" s="48"/>
      <c r="T45" s="34"/>
    </row>
    <row r="46" spans="1:20" ht="15" customHeight="1" x14ac:dyDescent="0.3">
      <c r="A46" s="50"/>
      <c r="B46" s="10" t="s">
        <v>116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 t="s">
        <v>76</v>
      </c>
      <c r="R46" s="34"/>
      <c r="S46" s="48"/>
      <c r="T46" s="34"/>
    </row>
    <row r="47" spans="1:20" ht="15" customHeight="1" thickBot="1" x14ac:dyDescent="0.35">
      <c r="A47" s="50"/>
      <c r="B47" s="10" t="s">
        <v>117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35"/>
      <c r="S47" s="48"/>
      <c r="T47" s="35"/>
    </row>
    <row r="48" spans="1:20" ht="15" thickBot="1" x14ac:dyDescent="0.35">
      <c r="C48" s="29" t="s">
        <v>19</v>
      </c>
      <c r="D48" s="31">
        <f>SUM(D6:D47)</f>
        <v>486585</v>
      </c>
      <c r="E48" s="31">
        <f>SUM(E6:E47)</f>
        <v>440643</v>
      </c>
      <c r="F48" s="31">
        <f>SUM(F6:F47)</f>
        <v>587657</v>
      </c>
      <c r="G48" s="31">
        <f>SUM(G6:G46)</f>
        <v>1514885</v>
      </c>
      <c r="H48" s="31">
        <f>SUM(H6:H47)</f>
        <v>1514885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6</v>
      </c>
      <c r="K50" s="18" t="s">
        <v>61</v>
      </c>
      <c r="L50" s="27">
        <v>6</v>
      </c>
      <c r="M50" s="28"/>
      <c r="N50" s="18" t="s">
        <v>104</v>
      </c>
      <c r="O50" s="18"/>
      <c r="P50" s="18"/>
      <c r="Q50" s="22"/>
    </row>
    <row r="51" spans="3:17" x14ac:dyDescent="0.3">
      <c r="J51" s="18">
        <v>7</v>
      </c>
      <c r="K51" s="18" t="s">
        <v>61</v>
      </c>
      <c r="L51" s="27">
        <v>7</v>
      </c>
      <c r="M51" s="28"/>
      <c r="N51" s="18" t="s">
        <v>61</v>
      </c>
      <c r="O51" s="18"/>
      <c r="P51" s="18"/>
      <c r="Q51" s="22"/>
    </row>
    <row r="52" spans="3:17" x14ac:dyDescent="0.3">
      <c r="J52" s="18"/>
      <c r="K52" s="18"/>
      <c r="L52" s="27"/>
      <c r="M52" s="28"/>
      <c r="N52" s="18"/>
      <c r="O52" s="18"/>
      <c r="P52" s="18"/>
      <c r="Q52" s="23"/>
    </row>
    <row r="53" spans="3:17" x14ac:dyDescent="0.3">
      <c r="J53" s="18"/>
      <c r="K53" s="18"/>
      <c r="L53" s="27"/>
      <c r="M53" s="28"/>
      <c r="N53" s="18"/>
      <c r="O53" s="18"/>
      <c r="P53" s="18"/>
      <c r="Q53" s="23"/>
    </row>
    <row r="54" spans="3:17" x14ac:dyDescent="0.3">
      <c r="Q54" s="24"/>
    </row>
    <row r="64" spans="3:17" x14ac:dyDescent="0.3">
      <c r="I64" t="s">
        <v>70</v>
      </c>
      <c r="J64" t="s">
        <v>103</v>
      </c>
      <c r="K64" t="s">
        <v>104</v>
      </c>
      <c r="M64" t="s">
        <v>61</v>
      </c>
      <c r="O64" t="s">
        <v>105</v>
      </c>
    </row>
  </sheetData>
  <mergeCells count="242"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8</vt:i4>
      </vt:variant>
      <vt:variant>
        <vt:lpstr>Adlandırılmış Aralıklar</vt:lpstr>
      </vt:variant>
      <vt:variant>
        <vt:i4>1</vt:i4>
      </vt:variant>
    </vt:vector>
  </HeadingPairs>
  <TitlesOfParts>
    <vt:vector size="9" baseType="lpstr"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'17.08.2026'!Yazdırma_Alanı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2026-08-20T07:28:23Z</cp:lastPrinted>
  <dcterms:created xsi:type="dcterms:W3CDTF">2015-06-05T18:19:34Z</dcterms:created>
  <dcterms:modified xsi:type="dcterms:W3CDTF">2026-08-21T11:05:53Z</dcterms:modified>
</cp:coreProperties>
</file>